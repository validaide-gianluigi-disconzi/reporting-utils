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updateLinks="always" defaultThemeVersion="166925"/>
  <mc:AlternateContent xmlns:mc="http://schemas.openxmlformats.org/markup-compatibility/2006">
    <mc:Choice Requires="x15">
      <x15ac:absPath xmlns:x15ac="http://schemas.microsoft.com/office/spreadsheetml/2010/11/ac" url="https://validaide.sharepoint.com/sites/Administration/Gedeelde documenten/Administration/Timesheets/2025/"/>
    </mc:Choice>
  </mc:AlternateContent>
  <xr:revisionPtr revIDLastSave="892" documentId="8_{12E39118-4D6D-4876-AE99-B03C1D554ED8}" xr6:coauthVersionLast="47" xr6:coauthVersionMax="47" xr10:uidLastSave="{5CE807AF-C898-4DA8-BB1E-9D63CF44A12A}"/>
  <bookViews>
    <workbookView xWindow="19260" yWindow="500" windowWidth="42900" windowHeight="24880" xr2:uid="{7F282376-01F4-43CB-A41F-31F3326F3AB2}"/>
  </bookViews>
  <sheets>
    <sheet name="WBSO Overview"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1" l="1"/>
  <c r="H39" i="1"/>
  <c r="I39" i="1"/>
  <c r="J39" i="1"/>
  <c r="K39" i="1"/>
  <c r="L39" i="1"/>
  <c r="M39" i="1"/>
  <c r="N39" i="1"/>
  <c r="O39" i="1"/>
  <c r="G39" i="1"/>
  <c r="H19" i="1"/>
  <c r="I19" i="1"/>
  <c r="J19" i="1"/>
  <c r="K19" i="1"/>
  <c r="L19" i="1"/>
  <c r="M19" i="1"/>
  <c r="N19" i="1"/>
  <c r="O19" i="1"/>
  <c r="G19" i="1"/>
  <c r="P19" i="1" s="1"/>
  <c r="E38" i="1"/>
  <c r="F38" i="1"/>
  <c r="G38" i="1"/>
  <c r="H38" i="1"/>
  <c r="I38" i="1"/>
  <c r="J38" i="1"/>
  <c r="K38" i="1"/>
  <c r="L38" i="1"/>
  <c r="M38" i="1"/>
  <c r="N38" i="1"/>
  <c r="O38" i="1"/>
  <c r="D38" i="1"/>
  <c r="E18" i="1"/>
  <c r="F18" i="1"/>
  <c r="G18" i="1"/>
  <c r="H18" i="1"/>
  <c r="I18" i="1"/>
  <c r="J18" i="1"/>
  <c r="K18" i="1"/>
  <c r="L18" i="1"/>
  <c r="M18" i="1"/>
  <c r="O18" i="1"/>
  <c r="D18" i="1"/>
  <c r="P18" i="1" s="1"/>
  <c r="O33" i="1"/>
  <c r="N33" i="1"/>
  <c r="M33" i="1"/>
  <c r="L33" i="1"/>
  <c r="K33" i="1"/>
  <c r="J33" i="1"/>
  <c r="I33" i="1"/>
  <c r="H33" i="1"/>
  <c r="G33" i="1"/>
  <c r="F33" i="1"/>
  <c r="E33" i="1"/>
  <c r="D33" i="1"/>
  <c r="O13" i="1"/>
  <c r="N13" i="1"/>
  <c r="M13" i="1"/>
  <c r="L13" i="1"/>
  <c r="K13" i="1"/>
  <c r="J13" i="1"/>
  <c r="I13" i="1"/>
  <c r="H13" i="1"/>
  <c r="G13" i="1"/>
  <c r="F13" i="1"/>
  <c r="E13" i="1"/>
  <c r="D13" i="1"/>
  <c r="P13" i="1" s="1"/>
  <c r="E35" i="1" l="1"/>
  <c r="F35" i="1"/>
  <c r="G35" i="1"/>
  <c r="H35" i="1"/>
  <c r="I35" i="1"/>
  <c r="J35" i="1"/>
  <c r="K35" i="1"/>
  <c r="L35" i="1"/>
  <c r="M35" i="1"/>
  <c r="N35" i="1"/>
  <c r="O35" i="1"/>
  <c r="D35" i="1"/>
  <c r="E15" i="1"/>
  <c r="F15" i="1"/>
  <c r="G15" i="1"/>
  <c r="H15" i="1"/>
  <c r="I15" i="1"/>
  <c r="J15" i="1"/>
  <c r="K15" i="1"/>
  <c r="L15" i="1"/>
  <c r="M15" i="1"/>
  <c r="N15" i="1"/>
  <c r="O15" i="1"/>
  <c r="D15" i="1"/>
  <c r="P15" i="1" s="1"/>
  <c r="E34" i="1" l="1"/>
  <c r="F34" i="1"/>
  <c r="G34" i="1"/>
  <c r="H34" i="1"/>
  <c r="I34" i="1"/>
  <c r="J34" i="1"/>
  <c r="K34" i="1"/>
  <c r="L34" i="1"/>
  <c r="M34" i="1"/>
  <c r="N34" i="1"/>
  <c r="O34" i="1"/>
  <c r="D34" i="1"/>
  <c r="E14" i="1"/>
  <c r="F14" i="1"/>
  <c r="G14" i="1"/>
  <c r="H14" i="1"/>
  <c r="I14" i="1"/>
  <c r="J14" i="1"/>
  <c r="K14" i="1"/>
  <c r="L14" i="1"/>
  <c r="M14" i="1"/>
  <c r="N14" i="1"/>
  <c r="O14" i="1"/>
  <c r="D14" i="1"/>
  <c r="P14" i="1" s="1"/>
  <c r="E32" i="1" l="1"/>
  <c r="F32" i="1"/>
  <c r="G32" i="1"/>
  <c r="H32" i="1"/>
  <c r="I32" i="1"/>
  <c r="J32" i="1"/>
  <c r="K32" i="1"/>
  <c r="L32" i="1"/>
  <c r="M32" i="1"/>
  <c r="N32" i="1"/>
  <c r="O32" i="1"/>
  <c r="D32" i="1"/>
  <c r="E12" i="1"/>
  <c r="F12" i="1"/>
  <c r="G12" i="1"/>
  <c r="H12" i="1"/>
  <c r="I12" i="1"/>
  <c r="J12" i="1"/>
  <c r="K12" i="1"/>
  <c r="L12" i="1"/>
  <c r="M12" i="1"/>
  <c r="N12" i="1"/>
  <c r="O12" i="1"/>
  <c r="D12" i="1"/>
  <c r="E40" i="1" l="1"/>
  <c r="F40" i="1"/>
  <c r="G40" i="1"/>
  <c r="H40" i="1"/>
  <c r="I40" i="1"/>
  <c r="J40" i="1"/>
  <c r="K40" i="1"/>
  <c r="L40" i="1"/>
  <c r="M40" i="1"/>
  <c r="N40" i="1"/>
  <c r="O40" i="1"/>
  <c r="D40" i="1"/>
  <c r="E20" i="1" l="1"/>
  <c r="F20" i="1"/>
  <c r="G20" i="1"/>
  <c r="H20" i="1"/>
  <c r="I20" i="1"/>
  <c r="J20" i="1"/>
  <c r="K20" i="1"/>
  <c r="L20" i="1"/>
  <c r="M20" i="1"/>
  <c r="N20" i="1"/>
  <c r="O20" i="1"/>
  <c r="D20" i="1"/>
  <c r="P20" i="1" s="1"/>
  <c r="E37" i="1" l="1"/>
  <c r="F37" i="1"/>
  <c r="G37" i="1"/>
  <c r="H37" i="1"/>
  <c r="I37" i="1"/>
  <c r="J37" i="1"/>
  <c r="K37" i="1"/>
  <c r="L37" i="1"/>
  <c r="M37" i="1"/>
  <c r="N37" i="1"/>
  <c r="O37" i="1"/>
  <c r="D37" i="1"/>
  <c r="E17" i="1"/>
  <c r="F17" i="1"/>
  <c r="G17" i="1"/>
  <c r="H17" i="1"/>
  <c r="I17" i="1"/>
  <c r="J17" i="1"/>
  <c r="K17" i="1"/>
  <c r="L17" i="1"/>
  <c r="M17" i="1"/>
  <c r="N17" i="1"/>
  <c r="O17" i="1"/>
  <c r="D17" i="1"/>
  <c r="P17" i="1" s="1"/>
  <c r="E36" i="1" l="1"/>
  <c r="F36" i="1"/>
  <c r="G36" i="1"/>
  <c r="H36" i="1"/>
  <c r="I36" i="1"/>
  <c r="J36" i="1"/>
  <c r="J41" i="1" s="1"/>
  <c r="K36" i="1"/>
  <c r="K41" i="1" s="1"/>
  <c r="L36" i="1"/>
  <c r="L41" i="1" s="1"/>
  <c r="M36" i="1"/>
  <c r="M41" i="1" s="1"/>
  <c r="N36" i="1"/>
  <c r="N41" i="1" s="1"/>
  <c r="O36" i="1"/>
  <c r="O41" i="1" s="1"/>
  <c r="D36" i="1"/>
  <c r="E16" i="1"/>
  <c r="F16" i="1"/>
  <c r="G16" i="1"/>
  <c r="H16" i="1"/>
  <c r="I16" i="1"/>
  <c r="J16" i="1"/>
  <c r="J21" i="1" s="1"/>
  <c r="K16" i="1"/>
  <c r="K21" i="1" s="1"/>
  <c r="L16" i="1"/>
  <c r="L21" i="1" s="1"/>
  <c r="M16" i="1"/>
  <c r="M21" i="1" s="1"/>
  <c r="N16" i="1"/>
  <c r="N21" i="1" s="1"/>
  <c r="O16" i="1"/>
  <c r="O21" i="1" s="1"/>
  <c r="D16" i="1"/>
  <c r="P16" i="1" s="1"/>
  <c r="P40" i="1" l="1"/>
  <c r="P39" i="1"/>
  <c r="P38" i="1" l="1"/>
  <c r="P35" i="1" l="1"/>
  <c r="P36" i="1"/>
  <c r="P37" i="1"/>
  <c r="I41" i="1"/>
  <c r="E41" i="1"/>
  <c r="G41" i="1"/>
  <c r="H41" i="1"/>
  <c r="P34" i="1"/>
  <c r="D41" i="1"/>
  <c r="P32" i="1"/>
  <c r="F41" i="1" l="1"/>
  <c r="P41" i="1" s="1"/>
  <c r="P33" i="1"/>
  <c r="P12" i="1" l="1"/>
  <c r="H21" i="1" l="1"/>
  <c r="H44" i="1" s="1"/>
  <c r="G21" i="1" l="1"/>
  <c r="G44" i="1" s="1"/>
  <c r="F21" i="1"/>
  <c r="F44" i="1" s="1"/>
  <c r="M44" i="1"/>
  <c r="L44" i="1"/>
  <c r="K44" i="1"/>
  <c r="I21" i="1"/>
  <c r="I44" i="1" s="1"/>
  <c r="N44" i="1"/>
  <c r="E21" i="1"/>
  <c r="E44" i="1" s="1"/>
  <c r="O44" i="1"/>
  <c r="J44" i="1"/>
  <c r="D21" i="1"/>
  <c r="D44" i="1" s="1"/>
  <c r="P21" i="1" l="1"/>
  <c r="P4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klomp, diana</author>
  </authors>
  <commentList>
    <comment ref="E8" authorId="0" shapeId="0" xr:uid="{C4BF249F-07B0-7D48-A680-813D62050682}">
      <text>
        <r>
          <rPr>
            <b/>
            <sz val="10"/>
            <color rgb="FF000000"/>
            <rFont val="Tahoma"/>
            <family val="2"/>
          </rPr>
          <t>Microsoft Office User:</t>
        </r>
        <r>
          <rPr>
            <sz val="10"/>
            <color rgb="FF000000"/>
            <rFont val="Tahoma"/>
            <family val="2"/>
          </rPr>
          <t xml:space="preserve">
</t>
        </r>
        <r>
          <rPr>
            <sz val="10"/>
            <color rgb="FF000000"/>
            <rFont val="Calibri"/>
            <family val="2"/>
          </rPr>
          <t xml:space="preserve">1. Ontbreken van programmeer technische duiding van afhankelijkheden bij detailwijzigingen van LRA factoren leidt tot 1000en manual goedkeuringsacties en bulkverwerking is onmogelijk. Dit maakt het technisch onmogelijk om hier in bulk mee om te gaan.
</t>
        </r>
        <r>
          <rPr>
            <sz val="10"/>
            <color rgb="FF000000"/>
            <rFont val="Calibri"/>
            <family val="2"/>
          </rPr>
          <t xml:space="preserve">
</t>
        </r>
        <r>
          <rPr>
            <sz val="10"/>
            <color rgb="FF000000"/>
            <rFont val="Calibri"/>
            <family val="2"/>
          </rPr>
          <t xml:space="preserve">2. De fijnmazigheid van details en afhankelijkheden maakt het technisch onmogelijk om volautomatisch te beslissen over uitstaande herevaluaties. Dit maakt het onmogelijk om het platform te schalen. Technisch knelpunt is de beperkingen van high code definities ( te arbeidsintensief voor onderhoud) en onbruikbaarheid van generieke low code opties.
</t>
        </r>
        <r>
          <rPr>
            <sz val="10"/>
            <color rgb="FF000000"/>
            <rFont val="Calibri"/>
            <family val="2"/>
          </rPr>
          <t xml:space="preserve">
</t>
        </r>
        <r>
          <rPr>
            <sz val="10"/>
            <color rgb="FF000000"/>
            <rFont val="Calibri"/>
            <family val="2"/>
          </rPr>
          <t xml:space="preserve">3. De introductie van multipackage evaluatie vergroot performance vraag. Tweede uitdaging is de veelvoud aan (veranderlijke) packaging specificaties en het daarbij onhoudbare onderhoud van code. Technische knelpunt is de diversiteit aan transportmitigaties vangen in rigide code, dit terwijl eigenschappen enorm kunnen verschillen. 
</t>
        </r>
      </text>
    </comment>
    <comment ref="E9" authorId="0" shapeId="0" xr:uid="{2C678B60-5897-7E49-8EA8-57FE19EE0417}">
      <text>
        <r>
          <rPr>
            <b/>
            <sz val="10"/>
            <color rgb="FF000000"/>
            <rFont val="Tahoma"/>
            <family val="2"/>
          </rPr>
          <t>Microsoft Office User:</t>
        </r>
        <r>
          <rPr>
            <sz val="10"/>
            <color rgb="FF000000"/>
            <rFont val="Tahoma"/>
            <family val="2"/>
          </rPr>
          <t xml:space="preserve">
</t>
        </r>
        <r>
          <rPr>
            <sz val="10"/>
            <color rgb="FF000000"/>
            <rFont val="Calibri"/>
            <family val="2"/>
          </rPr>
          <t xml:space="preserve">1. Ontw van prog t.b.v. een hiërarchische actie architectuur. Dit moet het technisch mogelijk maken om acties te kunnen groeperen in meerdere facetten. Nieuw WP is de graaf gebaseerde techniek die het mogelijk maakt volautomatisch te ordenen en dupliceren van acties middels deze verschillende facetten.
</t>
        </r>
        <r>
          <rPr>
            <sz val="10"/>
            <color rgb="FF000000"/>
            <rFont val="Calibri"/>
            <family val="2"/>
          </rPr>
          <t xml:space="preserve">
</t>
        </r>
        <r>
          <rPr>
            <sz val="10"/>
            <color rgb="FF000000"/>
            <rFont val="Calibri"/>
            <family val="2"/>
          </rPr>
          <t xml:space="preserve">2. OR is een eigen low code based BI engine. Nieuw werkingsprincipe is de ontwikkeling van een robuuste en flexibele templates om de unieke en complexe wijze van beoordeling toe te staan. Dit op basis van een eigen te ontwikkelen low code programmeertaal waardoor consultants zonder programmeerkennis rules kunnen definiëren. Dit maakt het technisch mogelijk de wildgroei in user specific/maatwerk code terug te dringen en de applicatie onderhoudbaar te houden
</t>
        </r>
        <r>
          <rPr>
            <sz val="10"/>
            <color rgb="FF000000"/>
            <rFont val="Calibri"/>
            <family val="2"/>
          </rPr>
          <t xml:space="preserve">
</t>
        </r>
        <r>
          <rPr>
            <sz val="10"/>
            <color rgb="FF000000"/>
            <rFont val="Calibri"/>
            <family val="2"/>
          </rPr>
          <t xml:space="preserve">3. De ontwikkeling van de Low code BI tooling, Queuing mechaniek lane change buffer komen hierin samen. Technisch nieuw werkingsprincipe is het door deze combinatie van nieuwe technieken volautomatisch oorzaken specifieke lacunes in grenswaardes te kunnen duiden. Uniek werkingsprincipe is de simulatie gedreven engine. Dit vereist ontwikkeling van fysieke simulatie van niet alleen verpakking maar ook pakket (E.g. lichtgewicht koelt sneller af dan hoog gewicht, verpakkingen met tijdelijke mitigatie (icepacks)). 
</t>
        </r>
      </text>
    </comment>
    <comment ref="A11" authorId="1" shapeId="0" xr:uid="{0EA0626F-7BF1-A74F-967B-AC6DD098889C}">
      <text>
        <r>
          <rPr>
            <sz val="8"/>
            <color rgb="FF000000"/>
            <rFont val="Tahoma"/>
            <family val="2"/>
          </rPr>
          <t xml:space="preserve">Overnemen uit projectenoverzicht uit uw WBSO-aanvraag
</t>
        </r>
      </text>
    </comment>
    <comment ref="C11" authorId="1" shapeId="0" xr:uid="{4F3AB4AE-6B50-2448-AA64-D62F351D51D1}">
      <text>
        <r>
          <rPr>
            <sz val="8"/>
            <color rgb="FF000000"/>
            <rFont val="Tahoma"/>
            <family val="2"/>
          </rPr>
          <t xml:space="preserve">Overnemen uit projectenoverzicht uit uw WBSO-aanvraag
</t>
        </r>
      </text>
    </comment>
    <comment ref="E26" authorId="0" shapeId="0" xr:uid="{502F1D5D-B4CE-C446-A2AE-75D096ACF414}">
      <text>
        <r>
          <rPr>
            <b/>
            <sz val="10"/>
            <color rgb="FF000000"/>
            <rFont val="Tahoma"/>
            <family val="2"/>
          </rPr>
          <t>Microsoft Office User:</t>
        </r>
        <r>
          <rPr>
            <sz val="10"/>
            <color rgb="FF000000"/>
            <rFont val="Tahoma"/>
            <family val="2"/>
          </rPr>
          <t xml:space="preserve">
</t>
        </r>
        <r>
          <rPr>
            <sz val="10"/>
            <color rgb="FF000000"/>
            <rFont val="Calibri"/>
            <family val="2"/>
          </rPr>
          <t xml:space="preserve">1.Flows volgen elkaar snel op en maken het onmogelijk om in rigide (high code) logica te gieten. TK is het vlot kunnen in en uitfaseren, onderhouden en genereren van deze flows. De combinatie hoeveelheid combinatie met maatwerk flows maakt dat reguliere programmatuur (e.g. servicemesh achtige oplossingen) geen soelaas bieden.
</t>
        </r>
        <r>
          <rPr>
            <sz val="10"/>
            <color rgb="FF000000"/>
            <rFont val="Calibri"/>
            <family val="2"/>
          </rPr>
          <t xml:space="preserve">
</t>
        </r>
        <r>
          <rPr>
            <sz val="10"/>
            <color rgb="FF000000"/>
            <rFont val="Calibri"/>
            <family val="2"/>
          </rPr>
          <t xml:space="preserve">2.Nieuwe vormen van (asynchrone) calls vormen een technisch knelpunt vanwege hun grote performance vraag, wat resulteert in langzamere real-time request afhandeling, de kern van de huidige programmatuur. Deze kan niet omgaan met piekbelastingen zonder prestatieverlies. Centrale knelpunt is de wijze van JIT-realtime verwerking waar het gehele platform als hoeksteen gebruikt. Deze wijze van verwerking is technisch onschaalbaar omdat alles continue verwerkt en opgevraagd moet worden.
</t>
        </r>
        <r>
          <rPr>
            <sz val="10"/>
            <color rgb="FF000000"/>
            <rFont val="Calibri"/>
            <family val="2"/>
          </rPr>
          <t xml:space="preserve">
</t>
        </r>
        <r>
          <rPr>
            <sz val="10"/>
            <color rgb="FF000000"/>
            <rFont val="Calibri"/>
            <family val="2"/>
          </rPr>
          <t xml:space="preserve">3.TK is bulk updates van kernwaardes van de LRA, bij wijzigingen ontwricht deze het platform. Deze wijzigingen zijn dankzij de JIT architectuur niet af te vangen of te pauzeren. Het is technisch onmogelijk onderscheid te maken op deze veranderingen t.o.v. andere met échte realtime impact. Dit maakt het onmogelijk in te zetten op de beoogde caching technieken/ of reguliere queuing toe te passen vanwege de gelijktijdige ongeldigheid van alle calculaties.
</t>
        </r>
        <r>
          <rPr>
            <sz val="10"/>
            <color rgb="FF000000"/>
            <rFont val="Calibri"/>
            <family val="2"/>
          </rPr>
          <t xml:space="preserve">
</t>
        </r>
        <r>
          <rPr>
            <sz val="10"/>
            <color rgb="FF000000"/>
            <rFont val="Calibri"/>
            <family val="2"/>
          </rPr>
          <t xml:space="preserve">4.Call limitations maken dat deze wijze van JIT/realtime genereren van projection data niet technisch haalbaar is. Deze data cached beschikbaar houden is niet snel genoeg om de vergrote hoeveelheid calls te behalen. 
</t>
        </r>
      </text>
    </comment>
    <comment ref="E27" authorId="0" shapeId="0" xr:uid="{40A316ED-9633-2645-B2B3-2CFA28B9F3F0}">
      <text>
        <r>
          <rPr>
            <b/>
            <sz val="10"/>
            <color rgb="FF000000"/>
            <rFont val="Tahoma"/>
            <family val="2"/>
          </rPr>
          <t>Microsoft Office User:</t>
        </r>
        <r>
          <rPr>
            <sz val="10"/>
            <color rgb="FF000000"/>
            <rFont val="Tahoma"/>
            <family val="2"/>
          </rPr>
          <t xml:space="preserve">
</t>
        </r>
        <r>
          <rPr>
            <sz val="10"/>
            <color rgb="FF000000"/>
            <rFont val="Calibri"/>
            <family val="2"/>
          </rPr>
          <t xml:space="preserve">1. OR is ontw van een efficiënt mechanisme voor het opvangen, verwerken en routeren van gebeurtenissen tussen verschillende systemen en applicaties. Nieuw werkingsprincipe is de flow based routering langs de diverse services, dit moet het technisch mogelijk maken de verwerkingsmechanieken “composable” te maken.
</t>
        </r>
        <r>
          <rPr>
            <sz val="10"/>
            <color rgb="FF000000"/>
            <rFont val="Calibri"/>
            <family val="2"/>
          </rPr>
          <t xml:space="preserve">
</t>
        </r>
        <r>
          <rPr>
            <sz val="10"/>
            <color rgb="FF000000"/>
            <rFont val="Calibri"/>
            <family val="2"/>
          </rPr>
          <t xml:space="preserve">2. OR is de ontwikkeling van programmatuur t.b.v een herbruikbare en adaptief (multi)queueing mechanisme. Nieuw werkingsprincipe is ontwikkeling van slimme messagequeue’s met end to end peformance monitoring. Dit moet het technisch mogelijk maken om de prioritering van de grote hoeveelheid queue’s bij te stellen. Technisch nieuw is de adaptieve performance monitoring hook die gebruikt wordt om specifieke service health vast te stellen.
</t>
        </r>
        <r>
          <rPr>
            <sz val="10"/>
            <color rgb="FF000000"/>
            <rFont val="Calibri"/>
            <family val="2"/>
          </rPr>
          <t xml:space="preserve">
</t>
        </r>
        <r>
          <rPr>
            <sz val="10"/>
            <color rgb="FF000000"/>
            <rFont val="Calibri"/>
            <family val="2"/>
          </rPr>
          <t xml:space="preserve">3. Ontwikkeling van een custom versioning systematiek die het technisch mogelijk maakt met ‘oude’ kernwaarden door te rekenen zonder de core algoritmiek te wijzigen. Nieuw werkingsprincipe is volautomatische versioning op basis van core change moments. Dit moet het technisch mogelijk maken wijzigingen te pauzeren terwijl LRA’s beschikbaar blijven.
</t>
        </r>
        <r>
          <rPr>
            <sz val="10"/>
            <color rgb="FF000000"/>
            <rFont val="Calibri"/>
            <family val="2"/>
          </rPr>
          <t xml:space="preserve">
</t>
        </r>
        <r>
          <rPr>
            <sz val="10"/>
            <color rgb="FF000000"/>
            <rFont val="Calibri"/>
            <family val="2"/>
          </rPr>
          <t xml:space="preserve">4. Ontwikkeling van een use specific caching/compressie/preprocessing mechanisme dat het technisch mogelijk maakt om op basis van eenmalig doorrekenen cached weatherdata “plat te slaan” zodat front-end programmatuur deze direct kan aanspreken. Nieuw werkingsprincipe is de automatische bepaling van verouderde data op basis van grenswaarden en het use specific te ontwikkelen dataformat. 
</t>
        </r>
      </text>
    </comment>
    <comment ref="A31" authorId="1" shapeId="0" xr:uid="{34A31744-8B49-D143-9FBB-6CDBBDE9C5AE}">
      <text>
        <r>
          <rPr>
            <sz val="8"/>
            <color rgb="FF000000"/>
            <rFont val="Tahoma"/>
            <family val="2"/>
          </rPr>
          <t xml:space="preserve">Overnemen uit projectenoverzicht uit uw WBSO-aanvraag
</t>
        </r>
      </text>
    </comment>
    <comment ref="C31" authorId="1" shapeId="0" xr:uid="{25BCA876-48FC-5146-BEE6-5CBDCFB0F557}">
      <text>
        <r>
          <rPr>
            <sz val="8"/>
            <color rgb="FF000000"/>
            <rFont val="Tahoma"/>
            <family val="2"/>
          </rPr>
          <t xml:space="preserve">Overnemen uit projectenoverzicht uit uw WBSO-aanvraag
</t>
        </r>
      </text>
    </comment>
  </commentList>
</comments>
</file>

<file path=xl/sharedStrings.xml><?xml version="1.0" encoding="utf-8"?>
<sst xmlns="http://schemas.openxmlformats.org/spreadsheetml/2006/main" count="104" uniqueCount="63">
  <si>
    <t>Year</t>
  </si>
  <si>
    <t>Company</t>
  </si>
  <si>
    <t>Validaide B.V.</t>
  </si>
  <si>
    <t>Phase</t>
  </si>
  <si>
    <t>Due</t>
  </si>
  <si>
    <t>ProdPad Ideas</t>
  </si>
  <si>
    <t>Project</t>
  </si>
  <si>
    <t>Platform Growth &amp; Custom Code at Scale</t>
  </si>
  <si>
    <t>Hierarchical bulk action architecture</t>
  </si>
  <si>
    <t>2025-Q3</t>
  </si>
  <si>
    <t>Bulk Actions</t>
  </si>
  <si>
    <t>Project ID</t>
  </si>
  <si>
    <t>TK</t>
  </si>
  <si>
    <t>Low Code Business rules engine</t>
  </si>
  <si>
    <t>2025-Q2</t>
  </si>
  <si>
    <t>Automated Lane re-evaluation, Country Risk, Lane Performance, Lane Workflow</t>
  </si>
  <si>
    <t>Project Hours</t>
  </si>
  <si>
    <t>OR</t>
  </si>
  <si>
    <t>Packaging evaluation advisor</t>
  </si>
  <si>
    <t>2025-Q4</t>
  </si>
  <si>
    <t>Packaging Repository, Linking Lanes to Packaging, etc</t>
  </si>
  <si>
    <t>#</t>
  </si>
  <si>
    <t>Employee</t>
  </si>
  <si>
    <t>BSN</t>
  </si>
  <si>
    <t>January</t>
  </si>
  <si>
    <t>February</t>
  </si>
  <si>
    <t>March</t>
  </si>
  <si>
    <t>April</t>
  </si>
  <si>
    <t>May</t>
  </si>
  <si>
    <t>June</t>
  </si>
  <si>
    <t>July</t>
  </si>
  <si>
    <t>August</t>
  </si>
  <si>
    <t>September</t>
  </si>
  <si>
    <t>October</t>
  </si>
  <si>
    <t>November</t>
  </si>
  <si>
    <t>December</t>
  </si>
  <si>
    <t>TOTAL</t>
  </si>
  <si>
    <t>AS</t>
  </si>
  <si>
    <t>465626300</t>
  </si>
  <si>
    <t>X3</t>
  </si>
  <si>
    <t>-</t>
  </si>
  <si>
    <t>CN</t>
  </si>
  <si>
    <t>DP</t>
  </si>
  <si>
    <t>MB</t>
  </si>
  <si>
    <t>MT</t>
  </si>
  <si>
    <t>YA</t>
  </si>
  <si>
    <t>AN</t>
  </si>
  <si>
    <t>X2</t>
  </si>
  <si>
    <t>→ Total # Project Hours S&amp;O</t>
  </si>
  <si>
    <t>Orchestration &amp; Just in Time transition</t>
  </si>
  <si>
    <t>Universal event driven architecture flows</t>
  </si>
  <si>
    <t>2024-Q4</t>
  </si>
  <si>
    <t>Event mechanisms, e.g. bulk actions</t>
  </si>
  <si>
    <t>Adaptive queue offloading mechanism</t>
  </si>
  <si>
    <t>Queuing, Caching, performance, Lane Performance</t>
  </si>
  <si>
    <t>Historical lane change buffer</t>
  </si>
  <si>
    <t>Lane Change Control, Lane Audit Trail, Route Evaluation</t>
  </si>
  <si>
    <t>Real-time weather preprocessing compression service</t>
  </si>
  <si>
    <t>2025-Q1</t>
  </si>
  <si>
    <t>Advanced Temperture Analysis, Climate Data, WorldClim replacement, Weather History, temperature prediction algorithm</t>
  </si>
  <si>
    <t>Sustainability index</t>
  </si>
  <si>
    <t>Sustainability Index, Packaging Sustainability</t>
  </si>
  <si>
    <t>→ Total # Hours S&amp;O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</si>
</sst>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color theme="1"/>
      <name val="Calibri"/>
      <family val="2"/>
      <scheme val="minor"/>
    </font>
    <font>
      <b/>
      <sz val="10"/>
      <name val="Arial"/>
      <family val="2"/>
    </font>
    <font>
      <sz val="10"/>
      <name val="Arial"/>
      <family val="2"/>
    </font>
    <font>
      <sz val="10"/>
      <color theme="8" tint="-0.249977111117893"/>
      <name val="Arial"/>
      <family val="2"/>
    </font>
    <font>
      <sz val="8"/>
      <color rgb="FF000000"/>
      <name val="Tahoma"/>
      <family val="2"/>
    </font>
    <font>
      <b/>
      <sz val="11"/>
      <color theme="1"/>
      <name val="Calibri"/>
      <family val="2"/>
      <scheme val="minor"/>
    </font>
    <font>
      <sz val="10"/>
      <color rgb="FF000000"/>
      <name val="Tahoma"/>
      <family val="2"/>
    </font>
    <font>
      <b/>
      <sz val="10"/>
      <color rgb="FF000000"/>
      <name val="Tahoma"/>
      <family val="2"/>
    </font>
    <font>
      <sz val="10"/>
      <color rgb="FF000000"/>
      <name val="Calibri"/>
      <family val="2"/>
    </font>
    <font>
      <sz val="11"/>
      <color rgb="FFC00000"/>
      <name val="Calibri"/>
      <family val="2"/>
      <scheme val="minor"/>
    </font>
  </fonts>
  <fills count="6">
    <fill>
      <patternFill patternType="none"/>
    </fill>
    <fill>
      <patternFill patternType="gray125"/>
    </fill>
    <fill>
      <patternFill patternType="solid">
        <fgColor theme="6" tint="0.79998168889431442"/>
        <bgColor indexed="65"/>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s>
  <borders count="11">
    <border>
      <left/>
      <right/>
      <top/>
      <bottom/>
      <diagonal/>
    </border>
    <border>
      <left style="thick">
        <color theme="4"/>
      </left>
      <right style="medium">
        <color theme="4"/>
      </right>
      <top style="thick">
        <color theme="4"/>
      </top>
      <bottom style="thick">
        <color theme="4"/>
      </bottom>
      <diagonal/>
    </border>
    <border>
      <left/>
      <right style="thick">
        <color theme="4"/>
      </right>
      <top style="thick">
        <color theme="4"/>
      </top>
      <bottom style="thick">
        <color theme="4"/>
      </bottom>
      <diagonal/>
    </border>
    <border>
      <left/>
      <right style="medium">
        <color theme="4"/>
      </right>
      <top style="thick">
        <color theme="4"/>
      </top>
      <bottom style="thick">
        <color theme="4"/>
      </bottom>
      <diagonal/>
    </border>
    <border>
      <left style="medium">
        <color theme="4"/>
      </left>
      <right style="medium">
        <color theme="4"/>
      </right>
      <top style="thick">
        <color theme="4"/>
      </top>
      <bottom style="thick">
        <color theme="4"/>
      </bottom>
      <diagonal/>
    </border>
    <border>
      <left style="thick">
        <color theme="4"/>
      </left>
      <right style="medium">
        <color theme="4"/>
      </right>
      <top/>
      <bottom/>
      <diagonal/>
    </border>
    <border>
      <left/>
      <right style="thick">
        <color theme="4"/>
      </right>
      <top/>
      <bottom/>
      <diagonal/>
    </border>
    <border>
      <left/>
      <right style="medium">
        <color theme="4"/>
      </right>
      <top/>
      <bottom/>
      <diagonal/>
    </border>
    <border>
      <left style="thick">
        <color theme="4"/>
      </left>
      <right/>
      <top style="thick">
        <color theme="4"/>
      </top>
      <bottom style="thick">
        <color theme="4"/>
      </bottom>
      <diagonal/>
    </border>
    <border>
      <left/>
      <right/>
      <top style="thick">
        <color theme="4"/>
      </top>
      <bottom style="thick">
        <color theme="4"/>
      </bottom>
      <diagonal/>
    </border>
    <border>
      <left/>
      <right/>
      <top/>
      <bottom style="thick">
        <color theme="4"/>
      </bottom>
      <diagonal/>
    </border>
  </borders>
  <cellStyleXfs count="2">
    <xf numFmtId="0" fontId="0" fillId="0" borderId="0"/>
    <xf numFmtId="0" fontId="1" fillId="2" borderId="0" applyNumberFormat="0" applyBorder="0" applyAlignment="0" applyProtection="0"/>
  </cellStyleXfs>
  <cellXfs count="44">
    <xf numFmtId="0" fontId="0" fillId="0" borderId="0" xfId="0"/>
    <xf numFmtId="0" fontId="0" fillId="3" borderId="0" xfId="0" applyFill="1"/>
    <xf numFmtId="0" fontId="2" fillId="3" borderId="0" xfId="0" applyFont="1" applyFill="1"/>
    <xf numFmtId="0" fontId="3" fillId="3" borderId="0" xfId="0" applyFont="1" applyFill="1"/>
    <xf numFmtId="0" fontId="4" fillId="3" borderId="0" xfId="0" applyFont="1" applyFill="1"/>
    <xf numFmtId="0" fontId="2" fillId="0" borderId="1" xfId="0" applyFont="1" applyBorder="1" applyAlignment="1" applyProtection="1">
      <alignment horizontal="center" vertical="center"/>
      <protection locked="0"/>
    </xf>
    <xf numFmtId="0" fontId="2" fillId="0" borderId="2" xfId="0" applyFont="1" applyBorder="1" applyProtection="1">
      <protection locked="0"/>
    </xf>
    <xf numFmtId="164" fontId="2" fillId="0" borderId="3" xfId="0" applyNumberFormat="1" applyFont="1" applyBorder="1" applyAlignment="1">
      <alignment horizontal="center"/>
    </xf>
    <xf numFmtId="164" fontId="2" fillId="0" borderId="4" xfId="0" applyNumberFormat="1" applyFont="1" applyBorder="1" applyAlignment="1">
      <alignment horizontal="center"/>
    </xf>
    <xf numFmtId="164" fontId="2" fillId="0" borderId="2" xfId="0" applyNumberFormat="1" applyFont="1" applyBorder="1" applyAlignment="1">
      <alignment horizontal="center"/>
    </xf>
    <xf numFmtId="0" fontId="2" fillId="0" borderId="5" xfId="0" quotePrefix="1" applyFont="1" applyBorder="1" applyAlignment="1" applyProtection="1">
      <alignment horizontal="center" vertical="center"/>
      <protection locked="0"/>
    </xf>
    <xf numFmtId="0" fontId="3" fillId="0" borderId="6" xfId="0" applyFont="1" applyBorder="1" applyAlignment="1" applyProtection="1">
      <alignment horizontal="left"/>
      <protection locked="0"/>
    </xf>
    <xf numFmtId="1" fontId="3" fillId="0" borderId="7" xfId="0" applyNumberFormat="1" applyFont="1" applyBorder="1"/>
    <xf numFmtId="1" fontId="3" fillId="0" borderId="6" xfId="0" applyNumberFormat="1" applyFont="1" applyBorder="1"/>
    <xf numFmtId="0" fontId="2" fillId="0" borderId="5" xfId="0" applyFont="1" applyBorder="1" applyAlignment="1" applyProtection="1">
      <alignment horizontal="center" vertical="center"/>
      <protection locked="0"/>
    </xf>
    <xf numFmtId="1" fontId="2" fillId="0" borderId="3" xfId="0" applyNumberFormat="1" applyFont="1" applyBorder="1"/>
    <xf numFmtId="1" fontId="2" fillId="0" borderId="4" xfId="0" applyNumberFormat="1" applyFont="1" applyBorder="1"/>
    <xf numFmtId="1" fontId="2" fillId="4" borderId="2" xfId="0" applyNumberFormat="1" applyFont="1" applyFill="1" applyBorder="1"/>
    <xf numFmtId="0" fontId="1" fillId="2" borderId="0" xfId="1"/>
    <xf numFmtId="49" fontId="2" fillId="0" borderId="5" xfId="0" quotePrefix="1" applyNumberFormat="1" applyFont="1" applyBorder="1" applyAlignment="1" applyProtection="1">
      <alignment horizontal="center" vertical="center"/>
      <protection locked="0"/>
    </xf>
    <xf numFmtId="1" fontId="0" fillId="3" borderId="0" xfId="0" applyNumberFormat="1" applyFill="1"/>
    <xf numFmtId="0" fontId="4" fillId="3" borderId="0" xfId="0" applyFont="1" applyFill="1" applyAlignment="1">
      <alignment horizontal="left" vertical="top"/>
    </xf>
    <xf numFmtId="0" fontId="6" fillId="3" borderId="0" xfId="0" applyFont="1" applyFill="1"/>
    <xf numFmtId="0" fontId="2" fillId="3" borderId="0" xfId="0" applyFont="1" applyFill="1" applyAlignment="1" applyProtection="1">
      <alignment horizontal="center" vertical="center"/>
      <protection locked="0"/>
    </xf>
    <xf numFmtId="0" fontId="2" fillId="3" borderId="0" xfId="0" applyFont="1" applyFill="1" applyProtection="1">
      <protection locked="0"/>
    </xf>
    <xf numFmtId="164" fontId="2" fillId="3" borderId="0" xfId="0" applyNumberFormat="1" applyFont="1" applyFill="1" applyAlignment="1">
      <alignment horizontal="center"/>
    </xf>
    <xf numFmtId="0" fontId="2" fillId="3" borderId="0" xfId="0" quotePrefix="1" applyFont="1" applyFill="1" applyAlignment="1" applyProtection="1">
      <alignment horizontal="center" vertical="center"/>
      <protection locked="0"/>
    </xf>
    <xf numFmtId="0" fontId="3" fillId="3" borderId="0" xfId="0" applyFont="1" applyFill="1" applyAlignment="1" applyProtection="1">
      <alignment horizontal="left"/>
      <protection locked="0"/>
    </xf>
    <xf numFmtId="49" fontId="2" fillId="3" borderId="0" xfId="0" quotePrefix="1" applyNumberFormat="1" applyFont="1" applyFill="1" applyAlignment="1" applyProtection="1">
      <alignment horizontal="center" vertical="center"/>
      <protection locked="0"/>
    </xf>
    <xf numFmtId="1" fontId="3" fillId="3" borderId="0" xfId="0" applyNumberFormat="1" applyFont="1" applyFill="1"/>
    <xf numFmtId="1" fontId="2" fillId="3" borderId="0" xfId="0" applyNumberFormat="1" applyFont="1" applyFill="1"/>
    <xf numFmtId="0" fontId="4" fillId="3" borderId="0" xfId="0" applyFont="1" applyFill="1" applyAlignment="1">
      <alignment vertical="top"/>
    </xf>
    <xf numFmtId="0" fontId="10" fillId="3" borderId="0" xfId="0" applyFont="1" applyFill="1"/>
    <xf numFmtId="1" fontId="3" fillId="5" borderId="7" xfId="0" applyNumberFormat="1" applyFont="1" applyFill="1" applyBorder="1"/>
    <xf numFmtId="0" fontId="4" fillId="3" borderId="0" xfId="0" applyFont="1" applyFill="1" applyAlignment="1">
      <alignment horizontal="left" vertical="top"/>
    </xf>
    <xf numFmtId="0" fontId="0" fillId="3" borderId="0" xfId="0" applyFill="1" applyAlignment="1">
      <alignment horizontal="left"/>
    </xf>
    <xf numFmtId="0" fontId="2" fillId="3" borderId="0" xfId="0" applyFont="1" applyFill="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2" fillId="0" borderId="3" xfId="0" applyFont="1" applyBorder="1" applyAlignment="1">
      <alignment horizontal="left"/>
    </xf>
    <xf numFmtId="0" fontId="0" fillId="3" borderId="10" xfId="0" applyFill="1" applyBorder="1" applyAlignment="1">
      <alignment horizontal="left"/>
    </xf>
    <xf numFmtId="0" fontId="0" fillId="3" borderId="0" xfId="0" applyFill="1" applyAlignment="1">
      <alignment horizontal="left" wrapText="1"/>
    </xf>
    <xf numFmtId="0" fontId="6" fillId="3" borderId="0" xfId="0" applyFont="1" applyFill="1" applyAlignment="1">
      <alignment horizontal="left" wrapText="1"/>
    </xf>
    <xf numFmtId="0" fontId="0" fillId="3" borderId="0" xfId="0" applyFill="1" applyAlignment="1">
      <alignment horizontal="center" wrapText="1"/>
    </xf>
  </cellXfs>
  <cellStyles count="2">
    <cellStyle name="20% - Accent3" xfId="1" builtinId="3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externalLink" Target="externalLinks/externalLink1.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AS.xlsx" TargetMode="External"/><Relationship Id="rId1" Type="http://schemas.openxmlformats.org/officeDocument/2006/relationships/externalLinkPath" Target="Timesheet_Validaide_2025_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X3.xlsx" TargetMode="External"/><Relationship Id="rId1" Type="http://schemas.openxmlformats.org/officeDocument/2006/relationships/externalLinkPath" Target="Timesheet_Validaide_2025_X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CN.xlsx" TargetMode="External"/><Relationship Id="rId1" Type="http://schemas.openxmlformats.org/officeDocument/2006/relationships/externalLinkPath" Target="Timesheet_Validaide_2025_C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DP.xlsx" TargetMode="External"/><Relationship Id="rId1" Type="http://schemas.openxmlformats.org/officeDocument/2006/relationships/externalLinkPath" Target="Timesheet_Validaide_2025_D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MB.xlsx" TargetMode="External"/><Relationship Id="rId1" Type="http://schemas.openxmlformats.org/officeDocument/2006/relationships/externalLinkPath" Target="Timesheet_Validaide_2025_MB.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MT.xlsx" TargetMode="External"/><Relationship Id="rId1" Type="http://schemas.openxmlformats.org/officeDocument/2006/relationships/externalLinkPath" Target="Timesheet_Validaide_2025_M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YA.xlsx" TargetMode="External"/><Relationship Id="rId1" Type="http://schemas.openxmlformats.org/officeDocument/2006/relationships/externalLinkPath" Target="Timesheet_Validaide_2025_YA.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AN.xlsx" TargetMode="External"/><Relationship Id="rId1" Type="http://schemas.openxmlformats.org/officeDocument/2006/relationships/externalLinkPath" Target="Timesheet_Validaide_2025_AN.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validaide.sharepoint.com/sites/Administration/Gedeelde%20documenten/Administration/Timesheets/2025/Timesheet_Validaide_2025_X2.xlsx" TargetMode="External"/><Relationship Id="rId1" Type="http://schemas.openxmlformats.org/officeDocument/2006/relationships/externalLinkPath" Target="Timesheet_Validaide_2025_X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3IWVAAQC6MSRBZWMRGE6THASUM">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0</v>
          </cell>
          <cell r="F27">
            <v>0</v>
          </cell>
          <cell r="G27">
            <v>0</v>
          </cell>
          <cell r="H27">
            <v>0</v>
          </cell>
          <cell r="I27">
            <v>0</v>
          </cell>
          <cell r="J27">
            <v>0</v>
          </cell>
          <cell r="K27">
            <v>0</v>
          </cell>
          <cell r="L27">
            <v>0</v>
          </cell>
          <cell r="M27">
            <v>0</v>
          </cell>
          <cell r="N27">
            <v>0</v>
          </cell>
          <cell r="O27">
            <v>0</v>
          </cell>
        </row>
        <row r="28">
          <cell r="D28">
            <v>0</v>
          </cell>
          <cell r="E28">
            <v>0</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24NLA6YU5YHRGYKXSSBYPCSWXY">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0</v>
          </cell>
          <cell r="F27">
            <v>0</v>
          </cell>
          <cell r="G27">
            <v>0</v>
          </cell>
          <cell r="H27">
            <v>0</v>
          </cell>
          <cell r="I27">
            <v>0</v>
          </cell>
          <cell r="J27">
            <v>0</v>
          </cell>
          <cell r="K27">
            <v>0</v>
          </cell>
          <cell r="L27">
            <v>0</v>
          </cell>
          <cell r="M27">
            <v>0</v>
          </cell>
          <cell r="N27">
            <v>0</v>
          </cell>
          <cell r="O27">
            <v>0</v>
          </cell>
        </row>
        <row r="28">
          <cell r="D28">
            <v>0</v>
          </cell>
          <cell r="E28">
            <v>0</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2WQV54LDNOP5DL7DVDTQBXS5TA">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3</v>
          </cell>
          <cell r="F27">
            <v>0</v>
          </cell>
          <cell r="G27">
            <v>0</v>
          </cell>
          <cell r="H27">
            <v>0</v>
          </cell>
          <cell r="I27">
            <v>0</v>
          </cell>
          <cell r="J27">
            <v>0</v>
          </cell>
          <cell r="K27">
            <v>0</v>
          </cell>
          <cell r="L27">
            <v>0</v>
          </cell>
          <cell r="M27">
            <v>0</v>
          </cell>
          <cell r="N27">
            <v>0</v>
          </cell>
          <cell r="O27">
            <v>0</v>
          </cell>
        </row>
        <row r="28">
          <cell r="D28">
            <v>0</v>
          </cell>
          <cell r="E28">
            <v>3</v>
          </cell>
          <cell r="F28">
            <v>79</v>
          </cell>
          <cell r="G28">
            <v>103</v>
          </cell>
          <cell r="H28">
            <v>42</v>
          </cell>
          <cell r="I28">
            <v>55</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Y23FIBJ7BK6ZBLZERLP3436UAG">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8</v>
          </cell>
          <cell r="F27">
            <v>0</v>
          </cell>
          <cell r="G27">
            <v>0</v>
          </cell>
          <cell r="H27">
            <v>0</v>
          </cell>
          <cell r="I27">
            <v>0</v>
          </cell>
          <cell r="J27">
            <v>0</v>
          </cell>
          <cell r="K27">
            <v>0</v>
          </cell>
          <cell r="L27">
            <v>0</v>
          </cell>
          <cell r="M27">
            <v>0</v>
          </cell>
          <cell r="N27">
            <v>0</v>
          </cell>
          <cell r="O27">
            <v>0</v>
          </cell>
        </row>
        <row r="28">
          <cell r="D28">
            <v>16</v>
          </cell>
          <cell r="E28">
            <v>12</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6FDETXOFT3RBDL4CZ7GDSYQFAA">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0</v>
          </cell>
          <cell r="F27">
            <v>0</v>
          </cell>
          <cell r="G27">
            <v>0</v>
          </cell>
          <cell r="H27">
            <v>0</v>
          </cell>
          <cell r="I27">
            <v>0</v>
          </cell>
          <cell r="J27">
            <v>0</v>
          </cell>
          <cell r="K27">
            <v>0</v>
          </cell>
          <cell r="L27">
            <v>0</v>
          </cell>
          <cell r="M27">
            <v>0</v>
          </cell>
          <cell r="N27">
            <v>0</v>
          </cell>
          <cell r="O27">
            <v>0</v>
          </cell>
        </row>
        <row r="28">
          <cell r="D28">
            <v>4</v>
          </cell>
          <cell r="E28">
            <v>4</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55SOYP3PL3ZVBJKNYUDOXH6FVM">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0</v>
          </cell>
          <cell r="F27">
            <v>0</v>
          </cell>
          <cell r="G27">
            <v>0</v>
          </cell>
          <cell r="H27">
            <v>0</v>
          </cell>
          <cell r="I27">
            <v>0</v>
          </cell>
          <cell r="J27">
            <v>0</v>
          </cell>
          <cell r="K27">
            <v>0</v>
          </cell>
          <cell r="L27">
            <v>0</v>
          </cell>
          <cell r="M27">
            <v>0</v>
          </cell>
          <cell r="N27">
            <v>0</v>
          </cell>
          <cell r="O27">
            <v>0</v>
          </cell>
        </row>
        <row r="28">
          <cell r="D28">
            <v>131</v>
          </cell>
          <cell r="E28">
            <v>25</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533OSCJALNMBFKCOE7FHOA5YZB">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9">
          <cell r="D29">
            <v>0</v>
          </cell>
          <cell r="E29">
            <v>0</v>
          </cell>
          <cell r="F29">
            <v>0</v>
          </cell>
          <cell r="G29">
            <v>0</v>
          </cell>
          <cell r="H29">
            <v>0</v>
          </cell>
          <cell r="I29">
            <v>0</v>
          </cell>
          <cell r="J29">
            <v>0</v>
          </cell>
          <cell r="K29">
            <v>0</v>
          </cell>
          <cell r="L29">
            <v>0</v>
          </cell>
          <cell r="M29">
            <v>112</v>
          </cell>
          <cell r="N29">
            <v>54</v>
          </cell>
          <cell r="O29">
            <v>0</v>
          </cell>
        </row>
        <row r="30">
          <cell r="D30"/>
          <cell r="E30"/>
          <cell r="F30"/>
          <cell r="G30"/>
          <cell r="H30"/>
          <cell r="I30"/>
          <cell r="J30"/>
          <cell r="K30"/>
          <cell r="L30"/>
          <cell r="M30"/>
          <cell r="N30"/>
          <cell r="O30"/>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YEGFRIMZPVUZH3KYTTTRAIX2RC">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8">
          <cell r="G28">
            <v>0</v>
          </cell>
          <cell r="H28">
            <v>0</v>
          </cell>
          <cell r="I28">
            <v>0</v>
          </cell>
          <cell r="J28">
            <v>0</v>
          </cell>
          <cell r="K28">
            <v>0</v>
          </cell>
          <cell r="L28">
            <v>48</v>
          </cell>
          <cell r="M28">
            <v>0</v>
          </cell>
          <cell r="N28">
            <v>0</v>
          </cell>
          <cell r="O28">
            <v>0</v>
          </cell>
        </row>
        <row r="29">
          <cell r="G29">
            <v>0</v>
          </cell>
          <cell r="H29">
            <v>0</v>
          </cell>
          <cell r="I29">
            <v>0</v>
          </cell>
          <cell r="J29">
            <v>11</v>
          </cell>
          <cell r="K29">
            <v>0</v>
          </cell>
          <cell r="L29">
            <v>48</v>
          </cell>
          <cell r="M29">
            <v>0</v>
          </cell>
          <cell r="N29">
            <v>0</v>
          </cell>
          <cell r="O29">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7CjlFvPkaw8sAuMK-fbkGhgVmWjhNKui-FE0KIRvrVkvowRT7XQYWhKKRU45si" itemId="012MZNGI3YAUP7BUZFURDZNKDKN2YNXDDY">
      <xxl21:absoluteUrl r:id="rId2"/>
    </xxl21:alternateUrls>
    <sheetNames>
      <sheetName val="TOTAL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27">
          <cell r="D27">
            <v>0</v>
          </cell>
          <cell r="E27">
            <v>0</v>
          </cell>
          <cell r="F27">
            <v>0</v>
          </cell>
          <cell r="G27">
            <v>0</v>
          </cell>
          <cell r="H27">
            <v>0</v>
          </cell>
          <cell r="I27">
            <v>0</v>
          </cell>
          <cell r="J27">
            <v>0</v>
          </cell>
          <cell r="K27">
            <v>0</v>
          </cell>
          <cell r="L27">
            <v>0</v>
          </cell>
          <cell r="M27">
            <v>0</v>
          </cell>
          <cell r="N27">
            <v>0</v>
          </cell>
          <cell r="O27">
            <v>0</v>
          </cell>
        </row>
        <row r="28">
          <cell r="D28">
            <v>0</v>
          </cell>
          <cell r="E28">
            <v>0</v>
          </cell>
          <cell r="F28">
            <v>0</v>
          </cell>
          <cell r="G28">
            <v>0</v>
          </cell>
          <cell r="H28">
            <v>0</v>
          </cell>
          <cell r="I28">
            <v>0</v>
          </cell>
          <cell r="J28">
            <v>0</v>
          </cell>
          <cell r="K28">
            <v>0</v>
          </cell>
          <cell r="L28">
            <v>0</v>
          </cell>
          <cell r="M28">
            <v>0</v>
          </cell>
          <cell r="N28">
            <v>0</v>
          </cell>
          <cell r="O28">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C661-DE47-4534-991D-31D14DF01AC1}">
  <dimension ref="A1:AA62"/>
  <sheetViews>
    <sheetView tabSelected="1" zoomScale="120" zoomScaleNormal="120" workbookViewId="0">
      <selection activeCell="P12" sqref="P12:P20"/>
    </sheetView>
  </sheetViews>
  <sheetFormatPr defaultColWidth="8.85546875" defaultRowHeight="15"/>
  <cols>
    <col min="3" max="3" width="17.140625" customWidth="1"/>
    <col min="4" max="16" width="10.28515625" customWidth="1"/>
  </cols>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2" t="s">
        <v>0</v>
      </c>
      <c r="B2" s="3"/>
      <c r="C2" s="34">
        <v>2025</v>
      </c>
      <c r="D2" s="34"/>
      <c r="E2" s="34"/>
      <c r="F2" s="34"/>
      <c r="G2" s="34"/>
      <c r="I2" s="1"/>
      <c r="J2" s="1"/>
      <c r="K2" s="1"/>
      <c r="L2" s="1"/>
      <c r="M2" s="1"/>
      <c r="N2" s="1"/>
      <c r="O2" s="1"/>
      <c r="P2" s="1"/>
      <c r="Q2" s="1"/>
      <c r="R2" s="1"/>
      <c r="S2" s="1"/>
      <c r="T2" s="1"/>
      <c r="U2" s="1"/>
      <c r="V2" s="1"/>
      <c r="W2" s="1"/>
      <c r="X2" s="1"/>
      <c r="Y2" s="1"/>
      <c r="Z2" s="1"/>
      <c r="AA2" s="1"/>
    </row>
    <row r="3" spans="1:27">
      <c r="A3" s="2" t="s">
        <v>1</v>
      </c>
      <c r="B3" s="2"/>
      <c r="C3" s="34" t="s">
        <v>2</v>
      </c>
      <c r="D3" s="34"/>
      <c r="E3" s="34"/>
      <c r="F3" s="34"/>
      <c r="G3" s="34"/>
      <c r="H3" s="1"/>
      <c r="I3" s="1"/>
      <c r="J3" s="1"/>
      <c r="K3" s="1"/>
      <c r="L3" s="1"/>
      <c r="M3" s="1"/>
      <c r="N3" s="1"/>
      <c r="O3" s="1"/>
      <c r="P3" s="1"/>
      <c r="Q3" s="1"/>
      <c r="R3" s="1"/>
      <c r="S3" s="1"/>
      <c r="T3" s="1"/>
      <c r="U3" s="1"/>
      <c r="V3" s="1"/>
      <c r="W3" s="1"/>
      <c r="X3" s="1"/>
      <c r="Y3" s="1"/>
      <c r="Z3" s="1"/>
      <c r="AA3" s="1"/>
    </row>
    <row r="4" spans="1:27">
      <c r="A4" s="1"/>
      <c r="B4" s="1"/>
      <c r="C4" s="4"/>
      <c r="D4" s="4"/>
      <c r="E4" s="4"/>
      <c r="F4" s="4"/>
      <c r="G4" s="4"/>
      <c r="H4" s="1"/>
      <c r="I4" s="1"/>
      <c r="J4" s="1"/>
      <c r="K4" s="1"/>
      <c r="L4" s="1"/>
      <c r="M4" s="1"/>
      <c r="N4" s="1"/>
      <c r="O4" s="1"/>
      <c r="P4" s="1"/>
      <c r="Q4" s="1"/>
      <c r="R4" s="1"/>
      <c r="S4" s="1"/>
      <c r="T4" s="1"/>
      <c r="U4" s="1"/>
      <c r="V4" s="1"/>
      <c r="W4" s="1"/>
      <c r="X4" s="1"/>
      <c r="Y4" s="1"/>
      <c r="Z4" s="1"/>
      <c r="AA4" s="1"/>
    </row>
    <row r="5" spans="1:27" ht="15.95">
      <c r="A5" s="18"/>
      <c r="B5" s="18"/>
      <c r="C5" s="18"/>
      <c r="D5" s="18"/>
      <c r="E5" s="18"/>
      <c r="F5" s="18"/>
      <c r="G5" s="18"/>
      <c r="H5" s="18"/>
      <c r="I5" s="18"/>
      <c r="J5" s="18"/>
      <c r="K5" s="18"/>
      <c r="L5" s="18"/>
      <c r="M5" s="18"/>
      <c r="N5" s="18"/>
      <c r="O5" s="18"/>
      <c r="P5" s="18"/>
      <c r="Q5" s="18"/>
      <c r="R5" s="18"/>
      <c r="S5" s="18"/>
      <c r="T5" s="18"/>
      <c r="U5" s="18"/>
      <c r="V5" s="18"/>
      <c r="W5" s="18"/>
      <c r="X5" s="18"/>
      <c r="Y5" s="18"/>
      <c r="Z5" s="18"/>
      <c r="AA5" s="18"/>
    </row>
    <row r="6" spans="1:27">
      <c r="A6" s="1"/>
      <c r="B6" s="1"/>
      <c r="C6" s="4"/>
      <c r="D6" s="4"/>
      <c r="E6" s="4"/>
      <c r="F6" s="4"/>
      <c r="G6" s="4"/>
      <c r="H6" s="22" t="s">
        <v>3</v>
      </c>
      <c r="I6" s="22"/>
      <c r="J6" s="22"/>
      <c r="K6" s="22" t="s">
        <v>4</v>
      </c>
      <c r="L6" s="22" t="s">
        <v>5</v>
      </c>
      <c r="M6" s="22"/>
      <c r="N6" s="22"/>
      <c r="O6" s="1"/>
      <c r="P6" s="1"/>
      <c r="Q6" s="1"/>
      <c r="R6" s="42"/>
      <c r="S6" s="42"/>
      <c r="T6" s="42"/>
      <c r="U6" s="42"/>
      <c r="V6" s="42"/>
      <c r="W6" s="42"/>
      <c r="X6" s="42"/>
      <c r="Y6" s="42"/>
      <c r="Z6" s="42"/>
      <c r="AA6" s="42"/>
    </row>
    <row r="7" spans="1:27" ht="15" customHeight="1">
      <c r="A7" s="2" t="s">
        <v>6</v>
      </c>
      <c r="B7" s="1"/>
      <c r="C7" s="34" t="s">
        <v>7</v>
      </c>
      <c r="D7" s="34"/>
      <c r="E7" s="34"/>
      <c r="F7" s="34"/>
      <c r="G7" s="34"/>
      <c r="H7" s="1" t="s">
        <v>8</v>
      </c>
      <c r="I7" s="1"/>
      <c r="J7" s="1"/>
      <c r="K7" s="1" t="s">
        <v>9</v>
      </c>
      <c r="L7" s="1" t="s">
        <v>10</v>
      </c>
      <c r="M7" s="1"/>
      <c r="N7" s="1"/>
      <c r="O7" s="1"/>
      <c r="P7" s="1"/>
      <c r="Q7" s="1"/>
      <c r="R7" s="43"/>
      <c r="S7" s="43"/>
      <c r="T7" s="43"/>
      <c r="U7" s="43"/>
      <c r="V7" s="43"/>
      <c r="W7" s="43"/>
      <c r="X7" s="43"/>
      <c r="Y7" s="43"/>
      <c r="Z7" s="43"/>
      <c r="AA7" s="43"/>
    </row>
    <row r="8" spans="1:27">
      <c r="A8" s="2" t="s">
        <v>11</v>
      </c>
      <c r="B8" s="1"/>
      <c r="C8" s="21">
        <v>2301</v>
      </c>
      <c r="D8" s="22" t="s">
        <v>12</v>
      </c>
      <c r="E8" s="1"/>
      <c r="F8" s="31"/>
      <c r="G8" s="31"/>
      <c r="H8" s="1" t="s">
        <v>13</v>
      </c>
      <c r="I8" s="1"/>
      <c r="J8" s="1"/>
      <c r="K8" s="1" t="s">
        <v>14</v>
      </c>
      <c r="L8" s="1" t="s">
        <v>15</v>
      </c>
      <c r="M8" s="1"/>
      <c r="N8" s="1"/>
      <c r="O8" s="1"/>
      <c r="P8" s="1"/>
      <c r="Q8" s="1"/>
      <c r="R8" s="43"/>
      <c r="S8" s="43"/>
      <c r="T8" s="43"/>
      <c r="U8" s="43"/>
      <c r="V8" s="43"/>
      <c r="W8" s="43"/>
      <c r="X8" s="43"/>
      <c r="Y8" s="43"/>
      <c r="Z8" s="43"/>
      <c r="AA8" s="43"/>
    </row>
    <row r="9" spans="1:27">
      <c r="A9" s="2" t="s">
        <v>16</v>
      </c>
      <c r="B9" s="1"/>
      <c r="C9" s="21">
        <v>3500</v>
      </c>
      <c r="D9" s="22" t="s">
        <v>17</v>
      </c>
      <c r="E9" s="1"/>
      <c r="F9" s="21"/>
      <c r="G9" s="21"/>
      <c r="H9" s="1" t="s">
        <v>18</v>
      </c>
      <c r="I9" s="1"/>
      <c r="J9" s="1"/>
      <c r="K9" s="1" t="s">
        <v>19</v>
      </c>
      <c r="L9" s="1" t="s">
        <v>20</v>
      </c>
      <c r="M9" s="1"/>
      <c r="N9" s="1"/>
      <c r="O9" s="1"/>
      <c r="P9" s="1"/>
      <c r="Q9" s="1"/>
      <c r="R9" s="41"/>
      <c r="S9" s="41"/>
      <c r="T9" s="41"/>
      <c r="U9" s="41"/>
      <c r="V9" s="41"/>
      <c r="W9" s="41"/>
      <c r="X9" s="41"/>
      <c r="Y9" s="41"/>
      <c r="Z9" s="41"/>
      <c r="AA9" s="41"/>
    </row>
    <row r="10" spans="1:27" ht="15.95" thickBot="1">
      <c r="A10" s="1"/>
      <c r="B10" s="1"/>
      <c r="C10" s="1"/>
      <c r="D10" s="1"/>
      <c r="E10" s="1"/>
      <c r="F10" s="1"/>
      <c r="G10" s="1"/>
      <c r="H10" s="1"/>
      <c r="I10" s="1"/>
      <c r="J10" s="1"/>
      <c r="K10" s="1"/>
      <c r="L10" s="1"/>
      <c r="M10" s="1"/>
      <c r="N10" s="1"/>
      <c r="O10" s="1"/>
      <c r="P10" s="1"/>
      <c r="Q10" s="1"/>
      <c r="R10" s="41"/>
      <c r="S10" s="41"/>
      <c r="T10" s="41"/>
      <c r="U10" s="41"/>
      <c r="V10" s="41"/>
      <c r="W10" s="41"/>
      <c r="X10" s="41"/>
      <c r="Y10" s="41"/>
      <c r="Z10" s="41"/>
      <c r="AA10" s="41"/>
    </row>
    <row r="11" spans="1:27" ht="17.100000000000001" thickTop="1" thickBot="1">
      <c r="A11" s="5" t="s">
        <v>21</v>
      </c>
      <c r="B11" s="6" t="s">
        <v>22</v>
      </c>
      <c r="C11" s="5" t="s">
        <v>23</v>
      </c>
      <c r="D11" s="7" t="s">
        <v>24</v>
      </c>
      <c r="E11" s="8" t="s">
        <v>25</v>
      </c>
      <c r="F11" s="7" t="s">
        <v>26</v>
      </c>
      <c r="G11" s="8" t="s">
        <v>27</v>
      </c>
      <c r="H11" s="7" t="s">
        <v>28</v>
      </c>
      <c r="I11" s="8" t="s">
        <v>29</v>
      </c>
      <c r="J11" s="7" t="s">
        <v>30</v>
      </c>
      <c r="K11" s="8" t="s">
        <v>31</v>
      </c>
      <c r="L11" s="7" t="s">
        <v>32</v>
      </c>
      <c r="M11" s="8" t="s">
        <v>33</v>
      </c>
      <c r="N11" s="7" t="s">
        <v>34</v>
      </c>
      <c r="O11" s="8" t="s">
        <v>35</v>
      </c>
      <c r="P11" s="9" t="s">
        <v>36</v>
      </c>
      <c r="Q11" s="1"/>
      <c r="R11" s="41"/>
      <c r="S11" s="41"/>
      <c r="T11" s="41"/>
      <c r="U11" s="41"/>
      <c r="V11" s="41"/>
      <c r="W11" s="41"/>
      <c r="X11" s="41"/>
      <c r="Y11" s="41"/>
      <c r="Z11" s="41"/>
      <c r="AA11" s="41"/>
    </row>
    <row r="12" spans="1:27" ht="15.95" thickTop="1">
      <c r="A12" s="10">
        <v>1</v>
      </c>
      <c r="B12" s="11" t="s">
        <v>37</v>
      </c>
      <c r="C12" s="19" t="s">
        <v>38</v>
      </c>
      <c r="D12" s="12">
        <f>[1]TOTALS!D27</f>
        <v>0</v>
      </c>
      <c r="E12" s="12">
        <f>[1]TOTALS!E27</f>
        <v>0</v>
      </c>
      <c r="F12" s="12">
        <f>[1]TOTALS!F27</f>
        <v>0</v>
      </c>
      <c r="G12" s="12">
        <f>[1]TOTALS!G27</f>
        <v>0</v>
      </c>
      <c r="H12" s="12">
        <f>[1]TOTALS!H27</f>
        <v>0</v>
      </c>
      <c r="I12" s="12">
        <f>[1]TOTALS!I27</f>
        <v>0</v>
      </c>
      <c r="J12" s="12">
        <f>[1]TOTALS!J27</f>
        <v>0</v>
      </c>
      <c r="K12" s="12">
        <f>[1]TOTALS!K27</f>
        <v>0</v>
      </c>
      <c r="L12" s="12">
        <f>[1]TOTALS!L27</f>
        <v>0</v>
      </c>
      <c r="M12" s="12">
        <f>[1]TOTALS!M27</f>
        <v>0</v>
      </c>
      <c r="N12" s="12">
        <f>[1]TOTALS!N27</f>
        <v>0</v>
      </c>
      <c r="O12" s="12">
        <f>[1]TOTALS!O27</f>
        <v>0</v>
      </c>
      <c r="P12" s="13">
        <f t="shared" ref="P12:P20" si="0">SUM(D12:O12)</f>
        <v>0</v>
      </c>
      <c r="Q12" s="1"/>
      <c r="R12" s="41"/>
      <c r="S12" s="41"/>
      <c r="T12" s="41"/>
      <c r="U12" s="41"/>
      <c r="V12" s="41"/>
      <c r="W12" s="41"/>
      <c r="X12" s="41"/>
      <c r="Y12" s="41"/>
      <c r="Z12" s="41"/>
      <c r="AA12" s="41"/>
    </row>
    <row r="13" spans="1:27">
      <c r="A13" s="10">
        <v>2</v>
      </c>
      <c r="B13" s="11" t="s">
        <v>39</v>
      </c>
      <c r="C13" s="10" t="s">
        <v>40</v>
      </c>
      <c r="D13" s="12">
        <f>[2]TOTALS!D27</f>
        <v>0</v>
      </c>
      <c r="E13" s="12">
        <f>[2]TOTALS!E27</f>
        <v>0</v>
      </c>
      <c r="F13" s="12">
        <f>[2]TOTALS!F27</f>
        <v>0</v>
      </c>
      <c r="G13" s="12">
        <f>[2]TOTALS!G27</f>
        <v>0</v>
      </c>
      <c r="H13" s="12">
        <f>[2]TOTALS!H27</f>
        <v>0</v>
      </c>
      <c r="I13" s="12">
        <f>[2]TOTALS!I27</f>
        <v>0</v>
      </c>
      <c r="J13" s="12">
        <f>[2]TOTALS!J27</f>
        <v>0</v>
      </c>
      <c r="K13" s="12">
        <f>[2]TOTALS!K27</f>
        <v>0</v>
      </c>
      <c r="L13" s="12">
        <f>[2]TOTALS!L27</f>
        <v>0</v>
      </c>
      <c r="M13" s="12">
        <f>[2]TOTALS!M27</f>
        <v>0</v>
      </c>
      <c r="N13" s="12">
        <f>[2]TOTALS!N27</f>
        <v>0</v>
      </c>
      <c r="O13" s="12">
        <f>[2]TOTALS!O27</f>
        <v>0</v>
      </c>
      <c r="P13" s="13">
        <f t="shared" si="0"/>
        <v>0</v>
      </c>
      <c r="Q13" s="1"/>
      <c r="R13" s="42"/>
      <c r="S13" s="42"/>
      <c r="T13" s="42"/>
      <c r="U13" s="42"/>
      <c r="V13" s="42"/>
      <c r="W13" s="42"/>
      <c r="X13" s="42"/>
      <c r="Y13" s="42"/>
      <c r="Z13" s="42"/>
      <c r="AA13" s="42"/>
    </row>
    <row r="14" spans="1:27">
      <c r="A14" s="10">
        <v>3</v>
      </c>
      <c r="B14" s="11" t="s">
        <v>41</v>
      </c>
      <c r="C14" s="10">
        <v>782002237</v>
      </c>
      <c r="D14" s="12">
        <f>[3]TOTALS!D27</f>
        <v>0</v>
      </c>
      <c r="E14" s="12">
        <f>[3]TOTALS!E27</f>
        <v>3</v>
      </c>
      <c r="F14" s="12">
        <f>[3]TOTALS!F27</f>
        <v>0</v>
      </c>
      <c r="G14" s="12">
        <f>[3]TOTALS!G27</f>
        <v>0</v>
      </c>
      <c r="H14" s="12">
        <f>[3]TOTALS!H27</f>
        <v>0</v>
      </c>
      <c r="I14" s="12">
        <f>[3]TOTALS!I27</f>
        <v>0</v>
      </c>
      <c r="J14" s="12">
        <f>[3]TOTALS!J27</f>
        <v>0</v>
      </c>
      <c r="K14" s="12">
        <f>[3]TOTALS!K27</f>
        <v>0</v>
      </c>
      <c r="L14" s="33">
        <f>[3]TOTALS!L27</f>
        <v>0</v>
      </c>
      <c r="M14" s="33">
        <f>[3]TOTALS!M27</f>
        <v>0</v>
      </c>
      <c r="N14" s="33">
        <f>[3]TOTALS!N27</f>
        <v>0</v>
      </c>
      <c r="O14" s="33">
        <f>[3]TOTALS!O27</f>
        <v>0</v>
      </c>
      <c r="P14" s="13">
        <f t="shared" si="0"/>
        <v>3</v>
      </c>
      <c r="Q14" s="1"/>
      <c r="R14" s="41"/>
      <c r="S14" s="41"/>
      <c r="T14" s="41"/>
      <c r="U14" s="41"/>
      <c r="V14" s="41"/>
      <c r="W14" s="41"/>
      <c r="X14" s="41"/>
      <c r="Y14" s="41"/>
      <c r="Z14" s="41"/>
      <c r="AA14" s="41"/>
    </row>
    <row r="15" spans="1:27">
      <c r="A15" s="14">
        <v>4</v>
      </c>
      <c r="B15" s="11" t="s">
        <v>42</v>
      </c>
      <c r="C15" s="14">
        <v>330177680</v>
      </c>
      <c r="D15" s="12">
        <f>[4]TOTALS!D27</f>
        <v>0</v>
      </c>
      <c r="E15" s="12">
        <f>[4]TOTALS!E27</f>
        <v>8</v>
      </c>
      <c r="F15" s="12">
        <f>[4]TOTALS!F27</f>
        <v>0</v>
      </c>
      <c r="G15" s="12">
        <f>[4]TOTALS!G27</f>
        <v>0</v>
      </c>
      <c r="H15" s="12">
        <f>[4]TOTALS!H27</f>
        <v>0</v>
      </c>
      <c r="I15" s="12">
        <f>[4]TOTALS!I27</f>
        <v>0</v>
      </c>
      <c r="J15" s="12">
        <f>[4]TOTALS!J27</f>
        <v>0</v>
      </c>
      <c r="K15" s="12">
        <f>[4]TOTALS!K27</f>
        <v>0</v>
      </c>
      <c r="L15" s="12">
        <f>[4]TOTALS!L27</f>
        <v>0</v>
      </c>
      <c r="M15" s="12">
        <f>[4]TOTALS!M27</f>
        <v>0</v>
      </c>
      <c r="N15" s="12">
        <f>[4]TOTALS!N27</f>
        <v>0</v>
      </c>
      <c r="O15" s="12">
        <f>[4]TOTALS!O27</f>
        <v>0</v>
      </c>
      <c r="P15" s="13">
        <f t="shared" si="0"/>
        <v>8</v>
      </c>
      <c r="Q15" s="1"/>
      <c r="R15" s="41"/>
      <c r="S15" s="41"/>
      <c r="T15" s="41"/>
      <c r="U15" s="41"/>
      <c r="V15" s="41"/>
      <c r="W15" s="41"/>
      <c r="X15" s="41"/>
      <c r="Y15" s="41"/>
      <c r="Z15" s="41"/>
      <c r="AA15" s="41"/>
    </row>
    <row r="16" spans="1:27">
      <c r="A16" s="14">
        <v>5</v>
      </c>
      <c r="B16" s="11" t="s">
        <v>43</v>
      </c>
      <c r="C16" s="14">
        <v>106996538</v>
      </c>
      <c r="D16" s="12">
        <f>[5]TOTALS!D27</f>
        <v>0</v>
      </c>
      <c r="E16" s="12">
        <f>[5]TOTALS!E27</f>
        <v>0</v>
      </c>
      <c r="F16" s="12">
        <f>[5]TOTALS!F27</f>
        <v>0</v>
      </c>
      <c r="G16" s="12">
        <f>[5]TOTALS!G27</f>
        <v>0</v>
      </c>
      <c r="H16" s="12">
        <f>[5]TOTALS!H27</f>
        <v>0</v>
      </c>
      <c r="I16" s="12">
        <f>[5]TOTALS!I27</f>
        <v>0</v>
      </c>
      <c r="J16" s="12">
        <f>[5]TOTALS!J27</f>
        <v>0</v>
      </c>
      <c r="K16" s="12">
        <f>[5]TOTALS!K27</f>
        <v>0</v>
      </c>
      <c r="L16" s="12">
        <f>[5]TOTALS!L27</f>
        <v>0</v>
      </c>
      <c r="M16" s="12">
        <f>[5]TOTALS!M27</f>
        <v>0</v>
      </c>
      <c r="N16" s="12">
        <f>[5]TOTALS!N27</f>
        <v>0</v>
      </c>
      <c r="O16" s="12">
        <f>[5]TOTALS!O27</f>
        <v>0</v>
      </c>
      <c r="P16" s="13">
        <f t="shared" si="0"/>
        <v>0</v>
      </c>
      <c r="Q16" s="1"/>
      <c r="R16" s="41"/>
      <c r="S16" s="41"/>
      <c r="T16" s="41"/>
      <c r="U16" s="41"/>
      <c r="V16" s="41"/>
      <c r="W16" s="41"/>
      <c r="X16" s="41"/>
      <c r="Y16" s="41"/>
      <c r="Z16" s="41"/>
      <c r="AA16" s="41"/>
    </row>
    <row r="17" spans="1:27">
      <c r="A17" s="14">
        <v>6</v>
      </c>
      <c r="B17" s="11" t="s">
        <v>44</v>
      </c>
      <c r="C17" s="14">
        <v>210368561</v>
      </c>
      <c r="D17" s="12">
        <f>[6]TOTALS!D27</f>
        <v>0</v>
      </c>
      <c r="E17" s="12">
        <f>[6]TOTALS!E27</f>
        <v>0</v>
      </c>
      <c r="F17" s="12">
        <f>[6]TOTALS!F27</f>
        <v>0</v>
      </c>
      <c r="G17" s="12">
        <f>[6]TOTALS!G27</f>
        <v>0</v>
      </c>
      <c r="H17" s="12">
        <f>[6]TOTALS!H27</f>
        <v>0</v>
      </c>
      <c r="I17" s="12">
        <f>[6]TOTALS!I27</f>
        <v>0</v>
      </c>
      <c r="J17" s="33">
        <f>[6]TOTALS!J27</f>
        <v>0</v>
      </c>
      <c r="K17" s="33">
        <f>[6]TOTALS!K27</f>
        <v>0</v>
      </c>
      <c r="L17" s="33">
        <f>[6]TOTALS!L27</f>
        <v>0</v>
      </c>
      <c r="M17" s="33">
        <f>[6]TOTALS!M27</f>
        <v>0</v>
      </c>
      <c r="N17" s="33">
        <f>[6]TOTALS!N27</f>
        <v>0</v>
      </c>
      <c r="O17" s="33">
        <f>[6]TOTALS!O27</f>
        <v>0</v>
      </c>
      <c r="P17" s="13">
        <f t="shared" si="0"/>
        <v>0</v>
      </c>
      <c r="Q17" s="1"/>
      <c r="R17" s="41"/>
      <c r="S17" s="41"/>
      <c r="T17" s="41"/>
      <c r="U17" s="41"/>
      <c r="V17" s="41"/>
      <c r="W17" s="41"/>
      <c r="X17" s="41"/>
      <c r="Y17" s="41"/>
      <c r="Z17" s="41"/>
      <c r="AA17" s="41"/>
    </row>
    <row r="18" spans="1:27">
      <c r="A18" s="14">
        <v>7</v>
      </c>
      <c r="B18" s="11" t="s">
        <v>45</v>
      </c>
      <c r="C18" s="14">
        <v>349977173</v>
      </c>
      <c r="D18" s="12">
        <f>[7]TOTALS!D29</f>
        <v>0</v>
      </c>
      <c r="E18" s="12">
        <f>[7]TOTALS!E29</f>
        <v>0</v>
      </c>
      <c r="F18" s="12">
        <f>[7]TOTALS!F29</f>
        <v>0</v>
      </c>
      <c r="G18" s="12">
        <f>[7]TOTALS!G29</f>
        <v>0</v>
      </c>
      <c r="H18" s="12">
        <f>[7]TOTALS!H29</f>
        <v>0</v>
      </c>
      <c r="I18" s="12">
        <f>[7]TOTALS!I29</f>
        <v>0</v>
      </c>
      <c r="J18" s="12">
        <f>[7]TOTALS!J29</f>
        <v>0</v>
      </c>
      <c r="K18" s="12">
        <f>[7]TOTALS!K29</f>
        <v>0</v>
      </c>
      <c r="L18" s="12">
        <f>[7]TOTALS!L29</f>
        <v>0</v>
      </c>
      <c r="M18" s="12">
        <f>[7]TOTALS!M29</f>
        <v>112</v>
      </c>
      <c r="N18" s="12">
        <f>[7]TOTALS!N29</f>
        <v>54</v>
      </c>
      <c r="O18" s="12">
        <f>[7]TOTALS!O29</f>
        <v>0</v>
      </c>
      <c r="P18" s="13">
        <f t="shared" si="0"/>
        <v>166</v>
      </c>
      <c r="Q18" s="1"/>
      <c r="R18" s="41"/>
      <c r="S18" s="41"/>
      <c r="T18" s="41"/>
      <c r="U18" s="41"/>
      <c r="V18" s="41"/>
      <c r="W18" s="41"/>
      <c r="X18" s="41"/>
      <c r="Y18" s="41"/>
      <c r="Z18" s="41"/>
      <c r="AA18" s="41"/>
    </row>
    <row r="19" spans="1:27">
      <c r="A19" s="14">
        <v>8</v>
      </c>
      <c r="B19" s="11" t="s">
        <v>46</v>
      </c>
      <c r="C19" s="14">
        <v>507811896</v>
      </c>
      <c r="D19" s="33">
        <v>0</v>
      </c>
      <c r="E19" s="33">
        <v>0</v>
      </c>
      <c r="F19" s="33">
        <v>0</v>
      </c>
      <c r="G19" s="12">
        <f>[8]TOTALS!G28</f>
        <v>0</v>
      </c>
      <c r="H19" s="12">
        <f>[8]TOTALS!H28</f>
        <v>0</v>
      </c>
      <c r="I19" s="12">
        <f>[8]TOTALS!I28</f>
        <v>0</v>
      </c>
      <c r="J19" s="12">
        <f>[8]TOTALS!J28</f>
        <v>0</v>
      </c>
      <c r="K19" s="12">
        <f>[8]TOTALS!K28</f>
        <v>0</v>
      </c>
      <c r="L19" s="12">
        <f>[8]TOTALS!L28</f>
        <v>48</v>
      </c>
      <c r="M19" s="12">
        <f>[8]TOTALS!M28</f>
        <v>0</v>
      </c>
      <c r="N19" s="12">
        <f>[8]TOTALS!N28</f>
        <v>0</v>
      </c>
      <c r="O19" s="12">
        <f>[8]TOTALS!O28</f>
        <v>0</v>
      </c>
      <c r="P19" s="13">
        <f t="shared" si="0"/>
        <v>48</v>
      </c>
      <c r="Q19" s="1"/>
      <c r="R19" s="41"/>
      <c r="S19" s="41"/>
      <c r="T19" s="41"/>
      <c r="U19" s="41"/>
      <c r="V19" s="41"/>
      <c r="W19" s="41"/>
      <c r="X19" s="41"/>
      <c r="Y19" s="41"/>
      <c r="Z19" s="41"/>
      <c r="AA19" s="41"/>
    </row>
    <row r="20" spans="1:27" ht="15.95" thickBot="1">
      <c r="A20" s="14">
        <v>9</v>
      </c>
      <c r="B20" s="11" t="s">
        <v>47</v>
      </c>
      <c r="C20" s="14" t="s">
        <v>40</v>
      </c>
      <c r="D20" s="12">
        <f>[9]TOTALS!D27</f>
        <v>0</v>
      </c>
      <c r="E20" s="12">
        <f>[9]TOTALS!E27</f>
        <v>0</v>
      </c>
      <c r="F20" s="12">
        <f>[9]TOTALS!F27</f>
        <v>0</v>
      </c>
      <c r="G20" s="12">
        <f>[9]TOTALS!G27</f>
        <v>0</v>
      </c>
      <c r="H20" s="12">
        <f>[9]TOTALS!H27</f>
        <v>0</v>
      </c>
      <c r="I20" s="12">
        <f>[9]TOTALS!I27</f>
        <v>0</v>
      </c>
      <c r="J20" s="12">
        <f>[9]TOTALS!J27</f>
        <v>0</v>
      </c>
      <c r="K20" s="12">
        <f>[9]TOTALS!K27</f>
        <v>0</v>
      </c>
      <c r="L20" s="12">
        <f>[9]TOTALS!L27</f>
        <v>0</v>
      </c>
      <c r="M20" s="12">
        <f>[9]TOTALS!M27</f>
        <v>0</v>
      </c>
      <c r="N20" s="12">
        <f>[9]TOTALS!N27</f>
        <v>0</v>
      </c>
      <c r="O20" s="12">
        <f>[9]TOTALS!O27</f>
        <v>0</v>
      </c>
      <c r="P20" s="13">
        <f t="shared" si="0"/>
        <v>0</v>
      </c>
      <c r="Q20" s="1"/>
      <c r="R20" s="41"/>
      <c r="S20" s="41"/>
      <c r="T20" s="41"/>
      <c r="U20" s="41"/>
      <c r="V20" s="41"/>
      <c r="W20" s="41"/>
      <c r="X20" s="41"/>
      <c r="Y20" s="41"/>
      <c r="Z20" s="41"/>
      <c r="AA20" s="41"/>
    </row>
    <row r="21" spans="1:27" ht="17.100000000000001" thickTop="1" thickBot="1">
      <c r="A21" s="37" t="s">
        <v>48</v>
      </c>
      <c r="B21" s="38"/>
      <c r="C21" s="39"/>
      <c r="D21" s="15">
        <f t="shared" ref="D21:O21" si="1">SUM(D12:D17)</f>
        <v>0</v>
      </c>
      <c r="E21" s="16">
        <f t="shared" si="1"/>
        <v>11</v>
      </c>
      <c r="F21" s="15">
        <f t="shared" si="1"/>
        <v>0</v>
      </c>
      <c r="G21" s="16">
        <f t="shared" si="1"/>
        <v>0</v>
      </c>
      <c r="H21" s="16">
        <f t="shared" si="1"/>
        <v>0</v>
      </c>
      <c r="I21" s="16">
        <f t="shared" si="1"/>
        <v>0</v>
      </c>
      <c r="J21" s="16">
        <f>SUM(J12:J20)</f>
        <v>0</v>
      </c>
      <c r="K21" s="16">
        <f t="shared" ref="K21:O21" si="2">SUM(K12:K20)</f>
        <v>0</v>
      </c>
      <c r="L21" s="16">
        <f t="shared" si="2"/>
        <v>48</v>
      </c>
      <c r="M21" s="16">
        <f t="shared" si="2"/>
        <v>112</v>
      </c>
      <c r="N21" s="16">
        <f t="shared" si="2"/>
        <v>54</v>
      </c>
      <c r="O21" s="16">
        <f t="shared" si="2"/>
        <v>0</v>
      </c>
      <c r="P21" s="17">
        <f>SUM(D21:O21)</f>
        <v>225</v>
      </c>
      <c r="Q21" s="1"/>
      <c r="R21" s="41"/>
      <c r="S21" s="41"/>
      <c r="T21" s="41"/>
      <c r="U21" s="41"/>
      <c r="V21" s="41"/>
      <c r="W21" s="41"/>
      <c r="X21" s="41"/>
      <c r="Y21" s="41"/>
      <c r="Z21" s="41"/>
      <c r="AA21" s="41"/>
    </row>
    <row r="22" spans="1:27" ht="15.95" thickTop="1">
      <c r="A22" s="1"/>
      <c r="B22" s="1"/>
      <c r="C22" s="1"/>
      <c r="D22" s="1"/>
      <c r="E22" s="1"/>
      <c r="F22" s="1"/>
      <c r="G22" s="1"/>
      <c r="H22" s="1"/>
      <c r="I22" s="20"/>
      <c r="J22" s="1"/>
      <c r="K22" s="1"/>
      <c r="L22" s="1"/>
      <c r="M22" s="1"/>
      <c r="N22" s="1"/>
      <c r="O22" s="1"/>
      <c r="P22" s="1"/>
      <c r="Q22" s="1"/>
      <c r="R22" s="1"/>
      <c r="S22" s="1"/>
      <c r="T22" s="1"/>
      <c r="U22" s="1"/>
      <c r="V22" s="1"/>
      <c r="W22" s="1"/>
      <c r="X22" s="1"/>
      <c r="Y22" s="1"/>
      <c r="Z22" s="1"/>
      <c r="AA22" s="1"/>
    </row>
    <row r="23"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c r="A24" s="1"/>
      <c r="B24" s="1"/>
      <c r="C24" s="1"/>
      <c r="D24" s="1"/>
      <c r="E24" s="1"/>
      <c r="F24" s="1"/>
      <c r="G24" s="1"/>
      <c r="H24" s="22" t="s">
        <v>3</v>
      </c>
      <c r="I24" s="22"/>
      <c r="J24" s="22"/>
      <c r="K24" s="22" t="s">
        <v>4</v>
      </c>
      <c r="L24" s="22" t="s">
        <v>5</v>
      </c>
      <c r="M24" s="22"/>
      <c r="N24" s="1"/>
      <c r="O24" s="1"/>
      <c r="P24" s="1"/>
      <c r="Q24" s="1"/>
      <c r="R24" s="1"/>
      <c r="S24" s="1"/>
      <c r="T24" s="1"/>
      <c r="U24" s="1"/>
      <c r="V24" s="1"/>
      <c r="W24" s="1"/>
      <c r="X24" s="1"/>
      <c r="Y24" s="1"/>
      <c r="Z24" s="1"/>
      <c r="AA24" s="1"/>
    </row>
    <row r="25" spans="1:27">
      <c r="A25" s="2" t="s">
        <v>6</v>
      </c>
      <c r="B25" s="1"/>
      <c r="C25" s="34" t="s">
        <v>49</v>
      </c>
      <c r="D25" s="34"/>
      <c r="E25" s="34"/>
      <c r="F25" s="34"/>
      <c r="G25" s="34"/>
      <c r="H25" s="32" t="s">
        <v>50</v>
      </c>
      <c r="I25" s="32"/>
      <c r="J25" s="32"/>
      <c r="K25" s="32" t="s">
        <v>51</v>
      </c>
      <c r="L25" s="32" t="s">
        <v>52</v>
      </c>
      <c r="M25" s="1"/>
      <c r="N25" s="1"/>
      <c r="O25" s="1"/>
      <c r="P25" s="1"/>
      <c r="Q25" s="1"/>
      <c r="R25" s="1"/>
      <c r="S25" s="1"/>
      <c r="T25" s="1"/>
      <c r="U25" s="1"/>
      <c r="V25" s="1"/>
      <c r="W25" s="1"/>
      <c r="X25" s="1"/>
      <c r="Y25" s="1"/>
      <c r="Z25" s="1"/>
      <c r="AA25" s="1"/>
    </row>
    <row r="26" spans="1:27">
      <c r="A26" s="2" t="s">
        <v>11</v>
      </c>
      <c r="B26" s="1"/>
      <c r="C26" s="21">
        <v>2302</v>
      </c>
      <c r="D26" s="22" t="s">
        <v>12</v>
      </c>
      <c r="E26" s="21"/>
      <c r="F26" s="21"/>
      <c r="G26" s="21"/>
      <c r="H26" s="32" t="s">
        <v>53</v>
      </c>
      <c r="I26" s="32"/>
      <c r="J26" s="32"/>
      <c r="K26" s="32" t="s">
        <v>51</v>
      </c>
      <c r="L26" s="32" t="s">
        <v>54</v>
      </c>
      <c r="M26" s="1"/>
      <c r="N26" s="1"/>
      <c r="O26" s="1"/>
      <c r="P26" s="1"/>
      <c r="Q26" s="1"/>
      <c r="R26" s="1"/>
      <c r="S26" s="1"/>
      <c r="T26" s="1"/>
      <c r="U26" s="1"/>
      <c r="V26" s="1"/>
      <c r="W26" s="1"/>
      <c r="X26" s="1"/>
      <c r="Y26" s="1"/>
      <c r="Z26" s="1"/>
      <c r="AA26" s="1"/>
    </row>
    <row r="27" spans="1:27">
      <c r="A27" s="2" t="s">
        <v>16</v>
      </c>
      <c r="B27" s="1"/>
      <c r="C27" s="21">
        <v>3500</v>
      </c>
      <c r="D27" s="22" t="s">
        <v>17</v>
      </c>
      <c r="E27" s="21"/>
      <c r="F27" s="21"/>
      <c r="G27" s="21"/>
      <c r="H27" s="1" t="s">
        <v>55</v>
      </c>
      <c r="I27" s="1"/>
      <c r="J27" s="1"/>
      <c r="K27" s="1" t="s">
        <v>14</v>
      </c>
      <c r="L27" s="1" t="s">
        <v>56</v>
      </c>
      <c r="M27" s="1"/>
      <c r="N27" s="1"/>
      <c r="O27" s="1"/>
      <c r="P27" s="1"/>
      <c r="Q27" s="1"/>
      <c r="R27" s="1"/>
      <c r="S27" s="1"/>
      <c r="T27" s="1"/>
      <c r="U27" s="1"/>
      <c r="V27" s="1"/>
      <c r="W27" s="1"/>
      <c r="X27" s="1"/>
      <c r="Y27" s="1"/>
      <c r="Z27" s="1"/>
      <c r="AA27" s="1"/>
    </row>
    <row r="28" spans="1:27">
      <c r="A28" s="2"/>
      <c r="B28" s="1"/>
      <c r="C28" s="21"/>
      <c r="D28" s="21"/>
      <c r="E28" s="21"/>
      <c r="F28" s="21"/>
      <c r="G28" s="21"/>
      <c r="H28" s="1" t="s">
        <v>57</v>
      </c>
      <c r="I28" s="1"/>
      <c r="J28" s="1"/>
      <c r="K28" s="1" t="s">
        <v>58</v>
      </c>
      <c r="L28" s="1" t="s">
        <v>59</v>
      </c>
      <c r="M28" s="1"/>
      <c r="N28" s="1"/>
      <c r="O28" s="1"/>
      <c r="P28" s="1"/>
      <c r="Q28" s="1"/>
      <c r="R28" s="1"/>
      <c r="S28" s="1"/>
      <c r="T28" s="1"/>
      <c r="U28" s="1"/>
      <c r="V28" s="1"/>
      <c r="W28" s="1"/>
      <c r="X28" s="1"/>
      <c r="Y28" s="1"/>
      <c r="Z28" s="1"/>
      <c r="AA28" s="1"/>
    </row>
    <row r="29" spans="1:27">
      <c r="A29" s="2"/>
      <c r="B29" s="1"/>
      <c r="C29" s="21"/>
      <c r="D29" s="21"/>
      <c r="E29" s="21"/>
      <c r="F29" s="21"/>
      <c r="G29" s="21"/>
      <c r="H29" s="1" t="s">
        <v>60</v>
      </c>
      <c r="I29" s="1"/>
      <c r="J29" s="1"/>
      <c r="K29" s="1" t="s">
        <v>58</v>
      </c>
      <c r="L29" s="1" t="s">
        <v>61</v>
      </c>
      <c r="M29" s="1"/>
      <c r="N29" s="1"/>
      <c r="O29" s="1"/>
      <c r="P29" s="1"/>
      <c r="Q29" s="1"/>
      <c r="R29" s="1"/>
      <c r="S29" s="1"/>
      <c r="T29" s="1"/>
      <c r="U29" s="1"/>
      <c r="V29" s="1"/>
      <c r="W29" s="1"/>
      <c r="X29" s="1"/>
      <c r="Y29" s="1"/>
      <c r="Z29" s="1"/>
      <c r="AA29" s="1"/>
    </row>
    <row r="30" spans="1:27" ht="15.95" thickBot="1">
      <c r="A30" s="1"/>
      <c r="B30" s="1"/>
      <c r="C30" s="40"/>
      <c r="D30" s="40"/>
      <c r="E30" s="40"/>
      <c r="F30" s="40"/>
      <c r="G30" s="40"/>
      <c r="H30" s="40"/>
      <c r="I30" s="40"/>
      <c r="J30" s="40"/>
      <c r="K30" s="40"/>
      <c r="L30" s="40"/>
      <c r="M30" s="40"/>
      <c r="N30" s="40"/>
      <c r="O30" s="40"/>
      <c r="P30" s="40"/>
      <c r="Q30" s="1"/>
      <c r="R30" s="1"/>
      <c r="S30" s="1"/>
      <c r="T30" s="1"/>
      <c r="U30" s="1"/>
      <c r="V30" s="1"/>
      <c r="W30" s="1"/>
      <c r="X30" s="1"/>
      <c r="Y30" s="1"/>
      <c r="Z30" s="1"/>
      <c r="AA30" s="1"/>
    </row>
    <row r="31" spans="1:27" ht="17.100000000000001" thickTop="1" thickBot="1">
      <c r="A31" s="5" t="s">
        <v>21</v>
      </c>
      <c r="B31" s="6" t="s">
        <v>22</v>
      </c>
      <c r="C31" s="5" t="s">
        <v>23</v>
      </c>
      <c r="D31" s="7" t="s">
        <v>24</v>
      </c>
      <c r="E31" s="8" t="s">
        <v>25</v>
      </c>
      <c r="F31" s="7" t="s">
        <v>26</v>
      </c>
      <c r="G31" s="8" t="s">
        <v>27</v>
      </c>
      <c r="H31" s="7" t="s">
        <v>28</v>
      </c>
      <c r="I31" s="8" t="s">
        <v>29</v>
      </c>
      <c r="J31" s="7" t="s">
        <v>30</v>
      </c>
      <c r="K31" s="8" t="s">
        <v>31</v>
      </c>
      <c r="L31" s="7" t="s">
        <v>32</v>
      </c>
      <c r="M31" s="8" t="s">
        <v>33</v>
      </c>
      <c r="N31" s="7" t="s">
        <v>34</v>
      </c>
      <c r="O31" s="8" t="s">
        <v>35</v>
      </c>
      <c r="P31" s="9" t="s">
        <v>36</v>
      </c>
      <c r="Q31" s="1"/>
      <c r="R31" s="1"/>
      <c r="S31" s="1"/>
      <c r="T31" s="1"/>
      <c r="U31" s="1"/>
      <c r="V31" s="1"/>
      <c r="W31" s="1"/>
      <c r="X31" s="1"/>
      <c r="Y31" s="1"/>
      <c r="Z31" s="1"/>
      <c r="AA31" s="1"/>
    </row>
    <row r="32" spans="1:27" ht="15.95" thickTop="1">
      <c r="A32" s="10">
        <v>1</v>
      </c>
      <c r="B32" s="11" t="s">
        <v>37</v>
      </c>
      <c r="C32" s="19" t="s">
        <v>38</v>
      </c>
      <c r="D32" s="12">
        <f>[1]TOTALS!D28</f>
        <v>0</v>
      </c>
      <c r="E32" s="12">
        <f>[1]TOTALS!E28</f>
        <v>0</v>
      </c>
      <c r="F32" s="12">
        <f>[1]TOTALS!F28</f>
        <v>0</v>
      </c>
      <c r="G32" s="12">
        <f>[1]TOTALS!G28</f>
        <v>0</v>
      </c>
      <c r="H32" s="12">
        <f>[1]TOTALS!H28</f>
        <v>0</v>
      </c>
      <c r="I32" s="12">
        <f>[1]TOTALS!I28</f>
        <v>0</v>
      </c>
      <c r="J32" s="12">
        <f>[1]TOTALS!J28</f>
        <v>0</v>
      </c>
      <c r="K32" s="12">
        <f>[1]TOTALS!K28</f>
        <v>0</v>
      </c>
      <c r="L32" s="12">
        <f>[1]TOTALS!L28</f>
        <v>0</v>
      </c>
      <c r="M32" s="12">
        <f>[1]TOTALS!M28</f>
        <v>0</v>
      </c>
      <c r="N32" s="12">
        <f>[1]TOTALS!N28</f>
        <v>0</v>
      </c>
      <c r="O32" s="12">
        <f>[1]TOTALS!O28</f>
        <v>0</v>
      </c>
      <c r="P32" s="13">
        <f t="shared" ref="P32:P37" si="3">SUM(D32:O32)</f>
        <v>0</v>
      </c>
      <c r="Q32" s="1"/>
      <c r="R32" s="1"/>
      <c r="S32" s="1"/>
      <c r="T32" s="1"/>
      <c r="U32" s="1"/>
      <c r="V32" s="1"/>
      <c r="W32" s="1"/>
      <c r="X32" s="1"/>
      <c r="Y32" s="1"/>
      <c r="Z32" s="1"/>
      <c r="AA32" s="1"/>
    </row>
    <row r="33" spans="1:27">
      <c r="A33" s="10">
        <v>2</v>
      </c>
      <c r="B33" s="11" t="s">
        <v>39</v>
      </c>
      <c r="C33" s="10" t="s">
        <v>40</v>
      </c>
      <c r="D33" s="12">
        <f>[2]TOTALS!D28</f>
        <v>0</v>
      </c>
      <c r="E33" s="12">
        <f>[2]TOTALS!E28</f>
        <v>0</v>
      </c>
      <c r="F33" s="12">
        <f>[2]TOTALS!F28</f>
        <v>0</v>
      </c>
      <c r="G33" s="12">
        <f>[2]TOTALS!G28</f>
        <v>0</v>
      </c>
      <c r="H33" s="12">
        <f>[2]TOTALS!H28</f>
        <v>0</v>
      </c>
      <c r="I33" s="12">
        <f>[2]TOTALS!I28</f>
        <v>0</v>
      </c>
      <c r="J33" s="12">
        <f>[2]TOTALS!J28</f>
        <v>0</v>
      </c>
      <c r="K33" s="12">
        <f>[2]TOTALS!K28</f>
        <v>0</v>
      </c>
      <c r="L33" s="12">
        <f>[2]TOTALS!L28</f>
        <v>0</v>
      </c>
      <c r="M33" s="12">
        <f>[2]TOTALS!M28</f>
        <v>0</v>
      </c>
      <c r="N33" s="12">
        <f>[2]TOTALS!N28</f>
        <v>0</v>
      </c>
      <c r="O33" s="12">
        <f>[2]TOTALS!O28</f>
        <v>0</v>
      </c>
      <c r="P33" s="13">
        <f t="shared" si="3"/>
        <v>0</v>
      </c>
      <c r="Q33" s="1"/>
      <c r="R33" s="1"/>
      <c r="S33" s="1"/>
      <c r="T33" s="1"/>
      <c r="U33" s="1"/>
      <c r="V33" s="1"/>
      <c r="W33" s="1"/>
      <c r="X33" s="1"/>
      <c r="Y33" s="1"/>
      <c r="Z33" s="1"/>
      <c r="AA33" s="1"/>
    </row>
    <row r="34" spans="1:27">
      <c r="A34" s="10">
        <v>3</v>
      </c>
      <c r="B34" s="11" t="s">
        <v>41</v>
      </c>
      <c r="C34" s="10">
        <v>782002237</v>
      </c>
      <c r="D34" s="12">
        <f>[3]TOTALS!D28</f>
        <v>0</v>
      </c>
      <c r="E34" s="12">
        <f>[3]TOTALS!E28</f>
        <v>3</v>
      </c>
      <c r="F34" s="12">
        <f>[3]TOTALS!F28</f>
        <v>79</v>
      </c>
      <c r="G34" s="12">
        <f>[3]TOTALS!G28</f>
        <v>103</v>
      </c>
      <c r="H34" s="12">
        <f>[3]TOTALS!H28</f>
        <v>42</v>
      </c>
      <c r="I34" s="12">
        <f>[3]TOTALS!I28</f>
        <v>55</v>
      </c>
      <c r="J34" s="12">
        <f>[3]TOTALS!J28</f>
        <v>0</v>
      </c>
      <c r="K34" s="12">
        <f>[3]TOTALS!K28</f>
        <v>0</v>
      </c>
      <c r="L34" s="33">
        <f>[3]TOTALS!L28</f>
        <v>0</v>
      </c>
      <c r="M34" s="33">
        <f>[3]TOTALS!M28</f>
        <v>0</v>
      </c>
      <c r="N34" s="33">
        <f>[3]TOTALS!N28</f>
        <v>0</v>
      </c>
      <c r="O34" s="33">
        <f>[3]TOTALS!O28</f>
        <v>0</v>
      </c>
      <c r="P34" s="13">
        <f t="shared" si="3"/>
        <v>282</v>
      </c>
      <c r="Q34" s="1"/>
      <c r="R34" s="1"/>
      <c r="S34" s="1"/>
      <c r="T34" s="1"/>
      <c r="U34" s="1"/>
      <c r="V34" s="1"/>
      <c r="W34" s="1"/>
      <c r="X34" s="1"/>
      <c r="Y34" s="1"/>
      <c r="Z34" s="1"/>
      <c r="AA34" s="1"/>
    </row>
    <row r="35" spans="1:27">
      <c r="A35" s="14">
        <v>4</v>
      </c>
      <c r="B35" s="11" t="s">
        <v>42</v>
      </c>
      <c r="C35" s="14">
        <v>330177680</v>
      </c>
      <c r="D35" s="12">
        <f>[4]TOTALS!D28</f>
        <v>16</v>
      </c>
      <c r="E35" s="12">
        <f>[4]TOTALS!E28</f>
        <v>12</v>
      </c>
      <c r="F35" s="12">
        <f>[4]TOTALS!F28</f>
        <v>0</v>
      </c>
      <c r="G35" s="12">
        <f>[4]TOTALS!G28</f>
        <v>0</v>
      </c>
      <c r="H35" s="12">
        <f>[4]TOTALS!H28</f>
        <v>0</v>
      </c>
      <c r="I35" s="12">
        <f>[4]TOTALS!I28</f>
        <v>0</v>
      </c>
      <c r="J35" s="12">
        <f>[4]TOTALS!J28</f>
        <v>0</v>
      </c>
      <c r="K35" s="12">
        <f>[4]TOTALS!K28</f>
        <v>0</v>
      </c>
      <c r="L35" s="12">
        <f>[4]TOTALS!L28</f>
        <v>0</v>
      </c>
      <c r="M35" s="12">
        <f>[4]TOTALS!M28</f>
        <v>0</v>
      </c>
      <c r="N35" s="12">
        <f>[4]TOTALS!N28</f>
        <v>0</v>
      </c>
      <c r="O35" s="12">
        <f>[4]TOTALS!O28</f>
        <v>0</v>
      </c>
      <c r="P35" s="13">
        <f t="shared" si="3"/>
        <v>28</v>
      </c>
      <c r="Q35" s="1"/>
      <c r="R35" s="1"/>
      <c r="S35" s="1"/>
      <c r="T35" s="1"/>
      <c r="U35" s="1"/>
      <c r="V35" s="1"/>
      <c r="W35" s="1"/>
      <c r="X35" s="1"/>
      <c r="Y35" s="1"/>
      <c r="Z35" s="1"/>
      <c r="AA35" s="1"/>
    </row>
    <row r="36" spans="1:27">
      <c r="A36" s="14">
        <v>5</v>
      </c>
      <c r="B36" s="11" t="s">
        <v>43</v>
      </c>
      <c r="C36" s="14">
        <v>106996538</v>
      </c>
      <c r="D36" s="12">
        <f>[5]TOTALS!D28</f>
        <v>4</v>
      </c>
      <c r="E36" s="12">
        <f>[5]TOTALS!E28</f>
        <v>4</v>
      </c>
      <c r="F36" s="12">
        <f>[5]TOTALS!F28</f>
        <v>0</v>
      </c>
      <c r="G36" s="12">
        <f>[5]TOTALS!G28</f>
        <v>0</v>
      </c>
      <c r="H36" s="12">
        <f>[5]TOTALS!H28</f>
        <v>0</v>
      </c>
      <c r="I36" s="12">
        <f>[5]TOTALS!I28</f>
        <v>0</v>
      </c>
      <c r="J36" s="12">
        <f>[5]TOTALS!J28</f>
        <v>0</v>
      </c>
      <c r="K36" s="12">
        <f>[5]TOTALS!K28</f>
        <v>0</v>
      </c>
      <c r="L36" s="12">
        <f>[5]TOTALS!L28</f>
        <v>0</v>
      </c>
      <c r="M36" s="12">
        <f>[5]TOTALS!M28</f>
        <v>0</v>
      </c>
      <c r="N36" s="12">
        <f>[5]TOTALS!N28</f>
        <v>0</v>
      </c>
      <c r="O36" s="12">
        <f>[5]TOTALS!O28</f>
        <v>0</v>
      </c>
      <c r="P36" s="13">
        <f t="shared" si="3"/>
        <v>8</v>
      </c>
      <c r="Q36" s="1"/>
      <c r="R36" s="1"/>
      <c r="S36" s="1"/>
      <c r="T36" s="1"/>
      <c r="U36" s="1"/>
      <c r="V36" s="1"/>
      <c r="W36" s="1"/>
      <c r="X36" s="1"/>
      <c r="Y36" s="1"/>
      <c r="Z36" s="1"/>
      <c r="AA36" s="1"/>
    </row>
    <row r="37" spans="1:27">
      <c r="A37" s="14">
        <v>6</v>
      </c>
      <c r="B37" s="11" t="s">
        <v>44</v>
      </c>
      <c r="C37" s="14">
        <v>210368561</v>
      </c>
      <c r="D37" s="12">
        <f>[6]TOTALS!D28</f>
        <v>131</v>
      </c>
      <c r="E37" s="12">
        <f>[6]TOTALS!E28</f>
        <v>25</v>
      </c>
      <c r="F37" s="12">
        <f>[6]TOTALS!F28</f>
        <v>0</v>
      </c>
      <c r="G37" s="12">
        <f>[6]TOTALS!G28</f>
        <v>0</v>
      </c>
      <c r="H37" s="12">
        <f>[6]TOTALS!H28</f>
        <v>0</v>
      </c>
      <c r="I37" s="12">
        <f>[6]TOTALS!I28</f>
        <v>0</v>
      </c>
      <c r="J37" s="33">
        <f>[6]TOTALS!J28</f>
        <v>0</v>
      </c>
      <c r="K37" s="33">
        <f>[6]TOTALS!K28</f>
        <v>0</v>
      </c>
      <c r="L37" s="33">
        <f>[6]TOTALS!L28</f>
        <v>0</v>
      </c>
      <c r="M37" s="33">
        <f>[6]TOTALS!M28</f>
        <v>0</v>
      </c>
      <c r="N37" s="33">
        <f>[6]TOTALS!N28</f>
        <v>0</v>
      </c>
      <c r="O37" s="33">
        <f>[6]TOTALS!O28</f>
        <v>0</v>
      </c>
      <c r="P37" s="13">
        <f t="shared" si="3"/>
        <v>156</v>
      </c>
      <c r="Q37" s="1"/>
      <c r="R37" s="1"/>
      <c r="S37" s="1"/>
      <c r="T37" s="1"/>
      <c r="U37" s="1"/>
      <c r="V37" s="1"/>
      <c r="W37" s="1"/>
      <c r="X37" s="1"/>
      <c r="Y37" s="1"/>
      <c r="Z37" s="1"/>
      <c r="AA37" s="1"/>
    </row>
    <row r="38" spans="1:27">
      <c r="A38" s="14">
        <v>7</v>
      </c>
      <c r="B38" s="11" t="s">
        <v>45</v>
      </c>
      <c r="C38" s="14">
        <v>349977173</v>
      </c>
      <c r="D38" s="12">
        <f>[7]TOTALS!D30</f>
        <v>0</v>
      </c>
      <c r="E38" s="12">
        <f>[7]TOTALS!E30</f>
        <v>0</v>
      </c>
      <c r="F38" s="12">
        <f>[7]TOTALS!F30</f>
        <v>0</v>
      </c>
      <c r="G38" s="12">
        <f>[7]TOTALS!G30</f>
        <v>0</v>
      </c>
      <c r="H38" s="12">
        <f>[7]TOTALS!H30</f>
        <v>0</v>
      </c>
      <c r="I38" s="12">
        <f>[7]TOTALS!I30</f>
        <v>0</v>
      </c>
      <c r="J38" s="12">
        <f>[7]TOTALS!J30</f>
        <v>0</v>
      </c>
      <c r="K38" s="12">
        <f>[7]TOTALS!K30</f>
        <v>0</v>
      </c>
      <c r="L38" s="12">
        <f>[7]TOTALS!L30</f>
        <v>0</v>
      </c>
      <c r="M38" s="12">
        <f>[7]TOTALS!M30</f>
        <v>0</v>
      </c>
      <c r="N38" s="12">
        <f>[7]TOTALS!N30</f>
        <v>0</v>
      </c>
      <c r="O38" s="12">
        <f>[7]TOTALS!O30</f>
        <v>0</v>
      </c>
      <c r="P38" s="13">
        <f t="shared" ref="P38" si="4">SUM(D38:O38)</f>
        <v>0</v>
      </c>
      <c r="Q38" s="1"/>
      <c r="R38" s="1"/>
      <c r="S38" s="1"/>
      <c r="T38" s="1"/>
      <c r="U38" s="1"/>
      <c r="V38" s="1"/>
      <c r="W38" s="1"/>
      <c r="X38" s="1"/>
      <c r="Y38" s="1"/>
      <c r="Z38" s="1"/>
      <c r="AA38" s="1"/>
    </row>
    <row r="39" spans="1:27">
      <c r="A39" s="14">
        <v>8</v>
      </c>
      <c r="B39" s="11" t="s">
        <v>46</v>
      </c>
      <c r="C39" s="14">
        <v>507811896</v>
      </c>
      <c r="D39" s="33">
        <v>0</v>
      </c>
      <c r="E39" s="33">
        <v>0</v>
      </c>
      <c r="F39" s="33">
        <v>0</v>
      </c>
      <c r="G39" s="12">
        <f>[8]TOTALS!G29</f>
        <v>0</v>
      </c>
      <c r="H39" s="12">
        <f>[8]TOTALS!H29</f>
        <v>0</v>
      </c>
      <c r="I39" s="12">
        <f>[8]TOTALS!I29</f>
        <v>0</v>
      </c>
      <c r="J39" s="12">
        <f>[8]TOTALS!J29</f>
        <v>11</v>
      </c>
      <c r="K39" s="12">
        <f>[8]TOTALS!K29</f>
        <v>0</v>
      </c>
      <c r="L39" s="12">
        <f>[8]TOTALS!L29</f>
        <v>48</v>
      </c>
      <c r="M39" s="12">
        <f>[8]TOTALS!M29</f>
        <v>0</v>
      </c>
      <c r="N39" s="12">
        <f>[8]TOTALS!N29</f>
        <v>0</v>
      </c>
      <c r="O39" s="12">
        <f>[8]TOTALS!O29</f>
        <v>0</v>
      </c>
      <c r="P39" s="13">
        <f t="shared" ref="P39" si="5">SUM(D39:O39)</f>
        <v>59</v>
      </c>
      <c r="Q39" s="1"/>
      <c r="R39" s="1"/>
      <c r="S39" s="1"/>
      <c r="T39" s="1"/>
      <c r="U39" s="1"/>
      <c r="V39" s="1"/>
      <c r="W39" s="1"/>
      <c r="X39" s="1"/>
      <c r="Y39" s="1"/>
      <c r="Z39" s="1"/>
      <c r="AA39" s="1"/>
    </row>
    <row r="40" spans="1:27" ht="15.95" thickBot="1">
      <c r="A40" s="14">
        <v>9</v>
      </c>
      <c r="B40" s="11" t="s">
        <v>47</v>
      </c>
      <c r="C40" s="14" t="s">
        <v>40</v>
      </c>
      <c r="D40" s="12">
        <f>[9]TOTALS!D28</f>
        <v>0</v>
      </c>
      <c r="E40" s="12">
        <f>[9]TOTALS!E28</f>
        <v>0</v>
      </c>
      <c r="F40" s="12">
        <f>[9]TOTALS!F28</f>
        <v>0</v>
      </c>
      <c r="G40" s="12">
        <f>[9]TOTALS!G28</f>
        <v>0</v>
      </c>
      <c r="H40" s="12">
        <f>[9]TOTALS!H28</f>
        <v>0</v>
      </c>
      <c r="I40" s="12">
        <f>[9]TOTALS!I28</f>
        <v>0</v>
      </c>
      <c r="J40" s="12">
        <f>[9]TOTALS!J28</f>
        <v>0</v>
      </c>
      <c r="K40" s="12">
        <f>[9]TOTALS!K28</f>
        <v>0</v>
      </c>
      <c r="L40" s="12">
        <f>[9]TOTALS!L28</f>
        <v>0</v>
      </c>
      <c r="M40" s="12">
        <f>[9]TOTALS!M28</f>
        <v>0</v>
      </c>
      <c r="N40" s="12">
        <f>[9]TOTALS!N28</f>
        <v>0</v>
      </c>
      <c r="O40" s="12">
        <f>[9]TOTALS!O28</f>
        <v>0</v>
      </c>
      <c r="P40" s="13">
        <f t="shared" ref="P40" si="6">SUM(D40:O40)</f>
        <v>0</v>
      </c>
      <c r="Q40" s="1"/>
      <c r="R40" s="1"/>
      <c r="S40" s="1"/>
      <c r="T40" s="1"/>
      <c r="U40" s="1"/>
      <c r="V40" s="1"/>
      <c r="W40" s="1"/>
      <c r="X40" s="1"/>
      <c r="Y40" s="1"/>
      <c r="Z40" s="1"/>
      <c r="AA40" s="1"/>
    </row>
    <row r="41" spans="1:27" ht="17.100000000000001" thickTop="1" thickBot="1">
      <c r="A41" s="37" t="s">
        <v>48</v>
      </c>
      <c r="B41" s="38"/>
      <c r="C41" s="39"/>
      <c r="D41" s="15">
        <f t="shared" ref="D41:O41" si="7">SUM(D32:D37)</f>
        <v>151</v>
      </c>
      <c r="E41" s="16">
        <f t="shared" si="7"/>
        <v>44</v>
      </c>
      <c r="F41" s="15">
        <f t="shared" si="7"/>
        <v>79</v>
      </c>
      <c r="G41" s="16">
        <f t="shared" si="7"/>
        <v>103</v>
      </c>
      <c r="H41" s="16">
        <f t="shared" si="7"/>
        <v>42</v>
      </c>
      <c r="I41" s="16">
        <f t="shared" si="7"/>
        <v>55</v>
      </c>
      <c r="J41" s="16">
        <f>SUM(J32:J40)</f>
        <v>11</v>
      </c>
      <c r="K41" s="16">
        <f t="shared" ref="K41:O41" si="8">SUM(K32:K40)</f>
        <v>0</v>
      </c>
      <c r="L41" s="16">
        <f t="shared" si="8"/>
        <v>48</v>
      </c>
      <c r="M41" s="16">
        <f t="shared" si="8"/>
        <v>0</v>
      </c>
      <c r="N41" s="16">
        <f t="shared" si="8"/>
        <v>0</v>
      </c>
      <c r="O41" s="16">
        <f t="shared" si="8"/>
        <v>0</v>
      </c>
      <c r="P41" s="17">
        <f>SUM(D41:O41)</f>
        <v>533</v>
      </c>
      <c r="Q41" s="1"/>
      <c r="R41" s="1"/>
      <c r="S41" s="1"/>
      <c r="T41" s="1"/>
      <c r="U41" s="1"/>
      <c r="V41" s="1"/>
      <c r="W41" s="1"/>
      <c r="X41" s="1"/>
      <c r="Y41" s="1"/>
      <c r="Z41" s="1"/>
      <c r="AA41" s="1"/>
    </row>
    <row r="42" spans="1:27" ht="15.95" thickTop="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s="1" customFormat="1"/>
    <row r="44" spans="1:27" ht="17.100000000000001" thickTop="1" thickBot="1">
      <c r="A44" s="37" t="s">
        <v>62</v>
      </c>
      <c r="B44" s="38"/>
      <c r="C44" s="39"/>
      <c r="D44" s="15">
        <f>SUM(D21,D41)</f>
        <v>151</v>
      </c>
      <c r="E44" s="15">
        <f t="shared" ref="E44:O44" si="9">SUM(E21,E41)</f>
        <v>55</v>
      </c>
      <c r="F44" s="15">
        <f t="shared" si="9"/>
        <v>79</v>
      </c>
      <c r="G44" s="15">
        <f t="shared" si="9"/>
        <v>103</v>
      </c>
      <c r="H44" s="15">
        <f t="shared" si="9"/>
        <v>42</v>
      </c>
      <c r="I44" s="15">
        <f t="shared" si="9"/>
        <v>55</v>
      </c>
      <c r="J44" s="15">
        <f t="shared" si="9"/>
        <v>11</v>
      </c>
      <c r="K44" s="15">
        <f t="shared" si="9"/>
        <v>0</v>
      </c>
      <c r="L44" s="15">
        <f t="shared" si="9"/>
        <v>96</v>
      </c>
      <c r="M44" s="15">
        <f t="shared" si="9"/>
        <v>112</v>
      </c>
      <c r="N44" s="15">
        <f t="shared" si="9"/>
        <v>54</v>
      </c>
      <c r="O44" s="15">
        <f t="shared" si="9"/>
        <v>0</v>
      </c>
      <c r="P44" s="17">
        <f>SUM(P21,P41)</f>
        <v>758</v>
      </c>
      <c r="Q44" s="1"/>
      <c r="R44" s="1"/>
      <c r="S44" s="1"/>
      <c r="T44" s="1"/>
      <c r="U44" s="1"/>
      <c r="V44" s="1"/>
      <c r="W44" s="1"/>
      <c r="X44" s="1"/>
      <c r="Y44" s="1"/>
      <c r="Z44" s="1"/>
      <c r="AA44" s="1"/>
    </row>
    <row r="45" spans="1:27" s="1" customFormat="1" ht="15.95" thickTop="1">
      <c r="A45" s="2"/>
      <c r="C45" s="34"/>
      <c r="D45" s="34"/>
      <c r="E45" s="34"/>
      <c r="F45" s="34"/>
      <c r="G45" s="34"/>
    </row>
    <row r="46" spans="1:27" s="1" customFormat="1">
      <c r="C46" s="35"/>
      <c r="D46" s="35"/>
      <c r="E46" s="35"/>
      <c r="F46" s="35"/>
      <c r="G46" s="35"/>
      <c r="H46" s="35"/>
      <c r="I46" s="35"/>
      <c r="J46" s="35"/>
      <c r="K46" s="35"/>
      <c r="L46" s="35"/>
      <c r="M46" s="35"/>
      <c r="N46" s="35"/>
      <c r="O46" s="35"/>
      <c r="P46" s="35"/>
    </row>
    <row r="47" spans="1:27" s="1" customFormat="1">
      <c r="A47" s="23"/>
      <c r="B47" s="24"/>
      <c r="C47" s="23"/>
      <c r="D47" s="25"/>
      <c r="E47" s="25"/>
      <c r="F47" s="25"/>
      <c r="G47" s="25"/>
      <c r="H47" s="25"/>
      <c r="I47" s="25"/>
      <c r="J47" s="25"/>
      <c r="K47" s="25"/>
      <c r="L47" s="25"/>
      <c r="M47" s="25"/>
      <c r="N47" s="25"/>
      <c r="O47" s="25"/>
      <c r="P47" s="25"/>
    </row>
    <row r="48" spans="1:27" s="1" customFormat="1">
      <c r="A48" s="26"/>
      <c r="B48" s="27"/>
      <c r="C48" s="28"/>
      <c r="D48" s="29"/>
      <c r="E48" s="29"/>
      <c r="F48" s="29"/>
      <c r="G48" s="29"/>
      <c r="H48" s="29"/>
      <c r="I48" s="29"/>
      <c r="J48" s="29"/>
      <c r="K48" s="29"/>
      <c r="L48" s="29"/>
      <c r="M48" s="29"/>
      <c r="N48" s="29"/>
      <c r="O48" s="29"/>
      <c r="P48" s="29"/>
    </row>
    <row r="49" spans="1:27" s="1" customFormat="1">
      <c r="A49" s="26"/>
      <c r="B49" s="27"/>
      <c r="C49" s="26"/>
      <c r="D49" s="29"/>
      <c r="E49" s="29"/>
      <c r="F49" s="29"/>
      <c r="G49" s="29"/>
      <c r="H49" s="29"/>
      <c r="I49" s="29"/>
      <c r="J49" s="29"/>
      <c r="K49" s="29"/>
      <c r="L49" s="29"/>
      <c r="M49" s="29"/>
      <c r="N49" s="29"/>
      <c r="O49" s="29"/>
      <c r="P49" s="29"/>
    </row>
    <row r="50" spans="1:27" s="1" customFormat="1">
      <c r="A50" s="26"/>
      <c r="B50" s="27"/>
      <c r="C50" s="26"/>
      <c r="D50" s="29"/>
      <c r="E50" s="29"/>
      <c r="F50" s="29"/>
      <c r="G50" s="29"/>
      <c r="H50" s="29"/>
      <c r="I50" s="29"/>
      <c r="J50" s="29"/>
      <c r="K50" s="29"/>
      <c r="L50" s="29"/>
      <c r="M50" s="29"/>
      <c r="N50" s="29"/>
      <c r="O50" s="29"/>
      <c r="P50" s="29"/>
    </row>
    <row r="51" spans="1:27" s="1" customFormat="1">
      <c r="A51" s="23"/>
      <c r="B51" s="27"/>
      <c r="C51" s="23"/>
      <c r="D51" s="29"/>
      <c r="E51" s="29"/>
      <c r="F51" s="29"/>
      <c r="G51" s="29"/>
      <c r="H51" s="29"/>
      <c r="I51" s="29"/>
      <c r="J51" s="29"/>
      <c r="K51" s="29"/>
      <c r="L51" s="29"/>
      <c r="M51" s="29"/>
      <c r="N51" s="29"/>
      <c r="O51" s="29"/>
      <c r="P51" s="29"/>
    </row>
    <row r="52" spans="1:27" s="1" customFormat="1">
      <c r="A52" s="23"/>
      <c r="B52" s="27"/>
      <c r="C52" s="23"/>
      <c r="D52" s="29"/>
      <c r="E52" s="29"/>
      <c r="F52" s="29"/>
      <c r="G52" s="29"/>
      <c r="H52" s="29"/>
      <c r="I52" s="29"/>
      <c r="J52" s="29"/>
      <c r="K52" s="29"/>
      <c r="L52" s="29"/>
      <c r="M52" s="29"/>
      <c r="N52" s="29"/>
      <c r="O52" s="29"/>
      <c r="P52" s="29"/>
    </row>
    <row r="53" spans="1:27" s="1" customFormat="1">
      <c r="A53" s="23"/>
      <c r="B53" s="27"/>
      <c r="C53" s="23"/>
      <c r="D53" s="29"/>
      <c r="E53" s="29"/>
      <c r="F53" s="29"/>
      <c r="G53" s="29"/>
      <c r="H53" s="29"/>
      <c r="I53" s="29"/>
      <c r="J53" s="29"/>
      <c r="K53" s="29"/>
      <c r="L53" s="29"/>
      <c r="M53" s="29"/>
      <c r="N53" s="29"/>
      <c r="O53" s="29"/>
      <c r="P53" s="29"/>
    </row>
    <row r="54" spans="1:27" s="1" customFormat="1">
      <c r="A54" s="36"/>
      <c r="B54" s="36"/>
      <c r="C54" s="36"/>
      <c r="D54" s="30"/>
      <c r="E54" s="30"/>
      <c r="F54" s="30"/>
      <c r="G54" s="30"/>
      <c r="H54" s="30"/>
      <c r="I54" s="30"/>
      <c r="J54" s="30"/>
      <c r="K54" s="30"/>
      <c r="L54" s="30"/>
      <c r="M54" s="30"/>
      <c r="N54" s="30"/>
      <c r="O54" s="30"/>
      <c r="P54" s="30"/>
    </row>
    <row r="55" spans="1:27">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s="1" customFormat="1"/>
    <row r="57" spans="1:27" s="1" customFormat="1">
      <c r="D57" s="3"/>
    </row>
    <row r="58" spans="1:27" s="1" customFormat="1"/>
    <row r="59" spans="1:27" s="1" customFormat="1"/>
    <row r="60" spans="1:27" s="1" customFormat="1"/>
    <row r="61" spans="1:27" s="1" customFormat="1"/>
    <row r="62" spans="1:27" s="1" customFormat="1"/>
  </sheetData>
  <mergeCells count="19">
    <mergeCell ref="R6:AA6"/>
    <mergeCell ref="R7:AA8"/>
    <mergeCell ref="R9:AA10"/>
    <mergeCell ref="R11:AA12"/>
    <mergeCell ref="R13:AA13"/>
    <mergeCell ref="R14:AA15"/>
    <mergeCell ref="R16:AA17"/>
    <mergeCell ref="R18:AA21"/>
    <mergeCell ref="C7:G7"/>
    <mergeCell ref="A21:C21"/>
    <mergeCell ref="C45:G45"/>
    <mergeCell ref="C46:P46"/>
    <mergeCell ref="A54:C54"/>
    <mergeCell ref="A44:C44"/>
    <mergeCell ref="C2:G2"/>
    <mergeCell ref="C3:G3"/>
    <mergeCell ref="C25:G25"/>
    <mergeCell ref="A41:C41"/>
    <mergeCell ref="C30:P30"/>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408414D05AD14690003E9E1EAA8D6C" ma:contentTypeVersion="3" ma:contentTypeDescription="Een nieuw document maken." ma:contentTypeScope="" ma:versionID="30a13cc724a3055ad4e9e6d3eb4524b3">
  <xsd:schema xmlns:xsd="http://www.w3.org/2001/XMLSchema" xmlns:xs="http://www.w3.org/2001/XMLSchema" xmlns:p="http://schemas.microsoft.com/office/2006/metadata/properties" xmlns:ns2="30fa92d5-3e45-41d7-85a1-28a454e39b22" xmlns:ns3="5981a141-8e96-4a13-ba2f-8513428846fa" targetNamespace="http://schemas.microsoft.com/office/2006/metadata/properties" ma:root="true" ma:fieldsID="710c0d61c268d58f5debc234b429733b" ns2:_="" ns3:_="">
    <xsd:import namespace="30fa92d5-3e45-41d7-85a1-28a454e39b22"/>
    <xsd:import namespace="5981a141-8e96-4a13-ba2f-8513428846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fa92d5-3e45-41d7-85a1-28a454e39b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81a141-8e96-4a13-ba2f-8513428846fa"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4A610B-F490-43CA-91FA-2271E514F939}"/>
</file>

<file path=customXml/itemProps2.xml><?xml version="1.0" encoding="utf-8"?>
<ds:datastoreItem xmlns:ds="http://schemas.openxmlformats.org/officeDocument/2006/customXml" ds:itemID="{26C1A783-3C0C-46F7-BD02-F11457D259F0}"/>
</file>

<file path=customXml/itemProps3.xml><?xml version="1.0" encoding="utf-8"?>
<ds:datastoreItem xmlns:ds="http://schemas.openxmlformats.org/officeDocument/2006/customXml" ds:itemID="{94AFA988-EE35-4C04-83EF-E107A9DEDD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eelco</dc:creator>
  <cp:keywords/>
  <dc:description/>
  <cp:lastModifiedBy>Gianluigi Disconzi</cp:lastModifiedBy>
  <cp:revision/>
  <dcterms:created xsi:type="dcterms:W3CDTF">2021-03-12T12:28:22Z</dcterms:created>
  <dcterms:modified xsi:type="dcterms:W3CDTF">2025-12-12T14:34:51Z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0x010100E8408414D05AD14690003E9E1EAA8D6C</vt:lpwstr>
  </property>
  <property fmtid="{D5CDD505-2E9C-101B-9397-08002B2CF9AE}" pid="3" name="MediaServiceImageTags">
    <vt:lpwstr/>
  </property>
</Properties>
</file>